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iskmediagroup.sharepoint.com/sites/RiskmediaMexico/Documentos compartidos/Forecast y Produccion Riskmedia/"/>
    </mc:Choice>
  </mc:AlternateContent>
  <xr:revisionPtr revIDLastSave="6463" documentId="13_ncr:1_{624BA65F-FD22-47B1-861D-98BF55B66ECC}" xr6:coauthVersionLast="47" xr6:coauthVersionMax="47" xr10:uidLastSave="{2CC6DBA8-4A7D-4F8A-A535-5EC9B4ED01B4}"/>
  <bookViews>
    <workbookView xWindow="-108" yWindow="-108" windowWidth="23256" windowHeight="12456" tabRatio="598" activeTab="3" xr2:uid="{49D0E53A-463B-46B9-880E-07C8FF91DDE7}"/>
  </bookViews>
  <sheets>
    <sheet name="2022" sheetId="1" r:id="rId1"/>
    <sheet name="2023" sheetId="2" r:id="rId2"/>
    <sheet name="2024" sheetId="10" r:id="rId3"/>
    <sheet name="2025" sheetId="11" r:id="rId4"/>
    <sheet name="E&amp;O 2023" sheetId="3" r:id="rId5"/>
    <sheet name="PAGO COMS AMA-GALL 2023" sheetId="6" r:id="rId6"/>
    <sheet name="E&amp;O 2022+" sheetId="4" r:id="rId7"/>
  </sheets>
  <definedNames>
    <definedName name="_xlnm._FilterDatabase" localSheetId="0" hidden="1">'2022'!$A$1:$T$132</definedName>
    <definedName name="_xlnm._FilterDatabase" localSheetId="1" hidden="1">'2023'!$A$1:$V$140</definedName>
    <definedName name="_xlnm._FilterDatabase" localSheetId="2" hidden="1">'2024'!$A$1:$X$170</definedName>
    <definedName name="_xlnm._FilterDatabase" localSheetId="3" hidden="1">'2025'!$A$1:$AD$204</definedName>
    <definedName name="_xlnm._FilterDatabase" localSheetId="6" hidden="1">'E&amp;O 2022+'!$A$1:$T$23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84" i="11" l="1"/>
  <c r="W198" i="11"/>
  <c r="X198" i="11" s="1"/>
  <c r="V182" i="11"/>
  <c r="R197" i="11"/>
  <c r="V197" i="11" s="1"/>
  <c r="R127" i="11"/>
  <c r="T127" i="11" s="1"/>
  <c r="W123" i="11"/>
  <c r="X123" i="11" s="1"/>
  <c r="W82" i="11"/>
  <c r="X82" i="11" s="1"/>
  <c r="W191" i="11"/>
  <c r="X191" i="11" s="1"/>
  <c r="W140" i="11"/>
  <c r="X140" i="11" s="1"/>
  <c r="R196" i="11"/>
  <c r="V196" i="11" s="1"/>
  <c r="R195" i="11"/>
  <c r="V195" i="11" s="1"/>
  <c r="R194" i="11"/>
  <c r="V194" i="11" s="1"/>
  <c r="R104" i="11"/>
  <c r="V104" i="11" s="1"/>
  <c r="R147" i="11"/>
  <c r="V147" i="11" s="1"/>
  <c r="R193" i="11"/>
  <c r="V193" i="11" s="1"/>
  <c r="R192" i="11"/>
  <c r="V192" i="11" s="1"/>
  <c r="R148" i="11"/>
  <c r="V148" i="11" s="1"/>
  <c r="R146" i="11"/>
  <c r="V146" i="11" s="1"/>
  <c r="R145" i="11"/>
  <c r="W145" i="11" s="1"/>
  <c r="X145" i="11" s="1"/>
  <c r="S204" i="11"/>
  <c r="W197" i="11" l="1"/>
  <c r="X197" i="11" s="1"/>
  <c r="T197" i="11"/>
  <c r="V127" i="11"/>
  <c r="T145" i="11"/>
  <c r="V145" i="11"/>
  <c r="T147" i="11"/>
  <c r="T193" i="11"/>
  <c r="T194" i="11"/>
  <c r="W196" i="11"/>
  <c r="X196" i="11" s="1"/>
  <c r="W146" i="11"/>
  <c r="X146" i="11" s="1"/>
  <c r="W148" i="11"/>
  <c r="X148" i="11" s="1"/>
  <c r="W192" i="11"/>
  <c r="X192" i="11" s="1"/>
  <c r="W194" i="11"/>
  <c r="X194" i="11" s="1"/>
  <c r="W147" i="11"/>
  <c r="X147" i="11" s="1"/>
  <c r="W104" i="11"/>
  <c r="X104" i="11" s="1"/>
  <c r="W193" i="11"/>
  <c r="X193" i="11" s="1"/>
  <c r="W195" i="11"/>
  <c r="X195" i="11" s="1"/>
  <c r="R71" i="11" l="1"/>
  <c r="V71" i="11" s="1"/>
  <c r="R190" i="11"/>
  <c r="V190" i="11" l="1"/>
  <c r="T190" i="11"/>
  <c r="W190" i="11"/>
  <c r="X190" i="11" s="1"/>
  <c r="W71" i="11"/>
  <c r="X71" i="11" s="1"/>
  <c r="W84" i="11" l="1"/>
  <c r="X84" i="11" s="1"/>
  <c r="V84" i="11"/>
  <c r="R129" i="11" l="1"/>
  <c r="W127" i="11" l="1"/>
  <c r="X127" i="11" s="1"/>
  <c r="W129" i="11"/>
  <c r="X129" i="11" s="1"/>
  <c r="V129" i="11"/>
  <c r="T61" i="11" l="1"/>
  <c r="R61" i="11"/>
  <c r="V61" i="11" s="1"/>
  <c r="R8" i="11"/>
  <c r="V8" i="11" s="1"/>
  <c r="R108" i="11"/>
  <c r="W8" i="11" l="1"/>
  <c r="X8" i="11" s="1"/>
  <c r="W61" i="11"/>
  <c r="X61" i="11" s="1"/>
  <c r="R181" i="11" l="1"/>
  <c r="W181" i="11" s="1"/>
  <c r="R184" i="11"/>
  <c r="W184" i="11" s="1"/>
  <c r="W100" i="11"/>
  <c r="X100" i="11" s="1"/>
  <c r="W86" i="11"/>
  <c r="X86" i="11" s="1"/>
  <c r="W69" i="11"/>
  <c r="X69" i="11" s="1"/>
  <c r="W68" i="11"/>
  <c r="X68" i="11" s="1"/>
  <c r="W67" i="11"/>
  <c r="X67" i="11" s="1"/>
  <c r="W66" i="11"/>
  <c r="X66" i="11" s="1"/>
  <c r="W65" i="11"/>
  <c r="X65" i="11" s="1"/>
  <c r="W48" i="11"/>
  <c r="X48" i="11" s="1"/>
  <c r="W44" i="11"/>
  <c r="X44" i="11" s="1"/>
  <c r="W41" i="11"/>
  <c r="X41" i="11" s="1"/>
  <c r="W39" i="11"/>
  <c r="X39" i="11" s="1"/>
  <c r="W34" i="11"/>
  <c r="W33" i="11"/>
  <c r="W24" i="11"/>
  <c r="R182" i="11"/>
  <c r="T182" i="11" s="1"/>
  <c r="R107" i="11"/>
  <c r="W107" i="11" s="1"/>
  <c r="X107" i="11" s="1"/>
  <c r="R54" i="11"/>
  <c r="R103" i="11"/>
  <c r="V103" i="11" l="1"/>
  <c r="W103" i="11"/>
  <c r="X103" i="11" s="1"/>
  <c r="W54" i="11"/>
  <c r="X54" i="11" s="1"/>
  <c r="T181" i="11"/>
  <c r="T184" i="11"/>
  <c r="V184" i="11"/>
  <c r="X184" i="11"/>
  <c r="V181" i="11"/>
  <c r="X181" i="11"/>
  <c r="W182" i="11"/>
  <c r="X182" i="11" s="1"/>
  <c r="V107" i="11"/>
  <c r="R134" i="11" l="1"/>
  <c r="R58" i="11"/>
  <c r="W58" i="11" s="1"/>
  <c r="X58" i="11" s="1"/>
  <c r="R30" i="11"/>
  <c r="W30" i="11" s="1"/>
  <c r="X30" i="11" s="1"/>
  <c r="T142" i="11"/>
  <c r="W142" i="11" s="1"/>
  <c r="X142" i="11" s="1"/>
  <c r="V183" i="11"/>
  <c r="R183" i="11"/>
  <c r="T183" i="11" s="1"/>
  <c r="V134" i="11" l="1"/>
  <c r="T134" i="11"/>
  <c r="W134" i="11"/>
  <c r="X134" i="11" s="1"/>
  <c r="V30" i="11"/>
  <c r="X183" i="11"/>
  <c r="R117" i="11" l="1"/>
  <c r="R11" i="11"/>
  <c r="W117" i="11" l="1"/>
  <c r="X117" i="11" s="1"/>
  <c r="T11" i="11"/>
  <c r="W11" i="11"/>
  <c r="R89" i="11" l="1"/>
  <c r="R90" i="11"/>
  <c r="N80" i="10"/>
  <c r="R97" i="11"/>
  <c r="R64" i="11"/>
  <c r="W64" i="11" s="1"/>
  <c r="X64" i="11" s="1"/>
  <c r="R96" i="11"/>
  <c r="R149" i="11"/>
  <c r="W149" i="11" s="1"/>
  <c r="X149" i="11" s="1"/>
  <c r="R130" i="11"/>
  <c r="R131" i="11"/>
  <c r="R110" i="11"/>
  <c r="R136" i="11"/>
  <c r="R99" i="11"/>
  <c r="W108" i="11"/>
  <c r="X108" i="11" s="1"/>
  <c r="Q138" i="11"/>
  <c r="R138" i="11" s="1"/>
  <c r="V117" i="11"/>
  <c r="R81" i="11"/>
  <c r="W81" i="11" s="1"/>
  <c r="X81" i="11" s="1"/>
  <c r="V110" i="11" l="1"/>
  <c r="W110" i="11"/>
  <c r="X110" i="11" s="1"/>
  <c r="W138" i="11"/>
  <c r="X138" i="11" s="1"/>
  <c r="W90" i="11"/>
  <c r="X90" i="11" s="1"/>
  <c r="W89" i="11"/>
  <c r="X89" i="11" s="1"/>
  <c r="V130" i="11"/>
  <c r="T130" i="11"/>
  <c r="W96" i="11"/>
  <c r="X96" i="11" s="1"/>
  <c r="W97" i="11"/>
  <c r="X97" i="11" s="1"/>
  <c r="V90" i="11"/>
  <c r="V99" i="11"/>
  <c r="W99" i="11"/>
  <c r="X99" i="11" s="1"/>
  <c r="V136" i="11"/>
  <c r="W136" i="11"/>
  <c r="X136" i="11" s="1"/>
  <c r="W130" i="11"/>
  <c r="X130" i="11" s="1"/>
  <c r="V138" i="11"/>
  <c r="V108" i="11"/>
  <c r="V149" i="11"/>
  <c r="V131" i="11"/>
  <c r="W131" i="11"/>
  <c r="X131" i="11" s="1"/>
  <c r="V89" i="11"/>
  <c r="T117" i="11"/>
  <c r="R87" i="11" l="1"/>
  <c r="R135" i="11"/>
  <c r="R106" i="11"/>
  <c r="R85" i="11"/>
  <c r="R111" i="11"/>
  <c r="R91" i="11"/>
  <c r="R93" i="11"/>
  <c r="R95" i="11"/>
  <c r="R94" i="11"/>
  <c r="W94" i="11" s="1"/>
  <c r="X94" i="11" s="1"/>
  <c r="R31" i="11"/>
  <c r="Q114" i="11"/>
  <c r="R83" i="11"/>
  <c r="R40" i="11"/>
  <c r="W40" i="11" s="1"/>
  <c r="X40" i="11" s="1"/>
  <c r="R3" i="11"/>
  <c r="R5" i="11"/>
  <c r="R6" i="11"/>
  <c r="R7" i="11"/>
  <c r="R4" i="11"/>
  <c r="R10" i="11"/>
  <c r="R12" i="11"/>
  <c r="W12" i="11" s="1"/>
  <c r="R13" i="11"/>
  <c r="R14" i="11"/>
  <c r="R15" i="11"/>
  <c r="R16" i="11"/>
  <c r="R17" i="11"/>
  <c r="R18" i="11"/>
  <c r="R19" i="11"/>
  <c r="R20" i="11"/>
  <c r="R21" i="11"/>
  <c r="Q22" i="11"/>
  <c r="R25" i="11"/>
  <c r="R26" i="11"/>
  <c r="R27" i="11"/>
  <c r="R28" i="11"/>
  <c r="R29" i="11"/>
  <c r="R32" i="11"/>
  <c r="V11" i="11"/>
  <c r="X11" i="11" s="1"/>
  <c r="R35" i="11"/>
  <c r="R36" i="11"/>
  <c r="R72" i="11"/>
  <c r="W72" i="11" s="1"/>
  <c r="X72" i="11" s="1"/>
  <c r="R88" i="11"/>
  <c r="R47" i="11"/>
  <c r="W47" i="11" s="1"/>
  <c r="X47" i="11" s="1"/>
  <c r="R70" i="11"/>
  <c r="W70" i="11" s="1"/>
  <c r="X70" i="11" s="1"/>
  <c r="R45" i="11"/>
  <c r="R46" i="11"/>
  <c r="W46" i="11" s="1"/>
  <c r="X46" i="11" s="1"/>
  <c r="R102" i="11"/>
  <c r="R55" i="11"/>
  <c r="R53" i="11"/>
  <c r="R141" i="11"/>
  <c r="R2" i="11"/>
  <c r="R37" i="11"/>
  <c r="R49" i="11"/>
  <c r="R56" i="11"/>
  <c r="R57" i="11"/>
  <c r="R42" i="11"/>
  <c r="R75" i="11"/>
  <c r="R76" i="11"/>
  <c r="W76" i="11" s="1"/>
  <c r="X76" i="11" s="1"/>
  <c r="R59" i="11"/>
  <c r="R60" i="11"/>
  <c r="R50" i="11"/>
  <c r="R62" i="11"/>
  <c r="R63" i="11"/>
  <c r="R38" i="11"/>
  <c r="R43" i="11"/>
  <c r="V64" i="11"/>
  <c r="R23" i="11"/>
  <c r="R73" i="11"/>
  <c r="R74" i="11"/>
  <c r="R51" i="11"/>
  <c r="R52" i="11"/>
  <c r="R98" i="11"/>
  <c r="R92" i="11"/>
  <c r="V54" i="11"/>
  <c r="V97" i="11"/>
  <c r="R77" i="11"/>
  <c r="R79" i="11"/>
  <c r="R80" i="11"/>
  <c r="R78" i="11"/>
  <c r="R101" i="11"/>
  <c r="V96" i="11"/>
  <c r="V34" i="11"/>
  <c r="X34" i="11" s="1"/>
  <c r="V24" i="11"/>
  <c r="X24" i="11" s="1"/>
  <c r="V33" i="11"/>
  <c r="X33" i="11" s="1"/>
  <c r="V48" i="11"/>
  <c r="V41" i="11"/>
  <c r="V65" i="11"/>
  <c r="V66" i="11"/>
  <c r="V67" i="11"/>
  <c r="V68" i="11"/>
  <c r="V100" i="11"/>
  <c r="V69" i="11"/>
  <c r="V44" i="11"/>
  <c r="V39" i="11"/>
  <c r="T34" i="11"/>
  <c r="T24" i="11"/>
  <c r="T48" i="11"/>
  <c r="T41" i="11"/>
  <c r="N153" i="10"/>
  <c r="R153" i="10" s="1"/>
  <c r="N4" i="10"/>
  <c r="R4" i="10" s="1"/>
  <c r="N58" i="10"/>
  <c r="R58" i="10" s="1"/>
  <c r="R148" i="10"/>
  <c r="R170" i="10"/>
  <c r="N129" i="10"/>
  <c r="P129" i="10" s="1"/>
  <c r="N169" i="10"/>
  <c r="R169" i="10" s="1"/>
  <c r="N119" i="10"/>
  <c r="R119" i="10" s="1"/>
  <c r="P169" i="10"/>
  <c r="N167" i="10"/>
  <c r="R167" i="10" s="1"/>
  <c r="N160" i="10"/>
  <c r="R160" i="10" s="1"/>
  <c r="N161" i="10"/>
  <c r="R161" i="10" s="1"/>
  <c r="N159" i="10"/>
  <c r="R159" i="10" s="1"/>
  <c r="N168" i="10"/>
  <c r="R168" i="10" s="1"/>
  <c r="R166" i="10"/>
  <c r="G176" i="10"/>
  <c r="K142" i="2"/>
  <c r="N165" i="10"/>
  <c r="R165" i="10" s="1"/>
  <c r="N51" i="10"/>
  <c r="R51" i="10" s="1"/>
  <c r="N50" i="10"/>
  <c r="R50" i="10"/>
  <c r="N164" i="10"/>
  <c r="R164" i="10" s="1"/>
  <c r="N142" i="10"/>
  <c r="R142" i="10" s="1"/>
  <c r="N163" i="10"/>
  <c r="R163" i="10" s="1"/>
  <c r="N162" i="10"/>
  <c r="R162" i="10" s="1"/>
  <c r="N158" i="10"/>
  <c r="R158" i="10" s="1"/>
  <c r="N157" i="10"/>
  <c r="R157" i="10"/>
  <c r="N156" i="10"/>
  <c r="P156" i="10" s="1"/>
  <c r="N141" i="10"/>
  <c r="R141" i="10" s="1"/>
  <c r="N146" i="10"/>
  <c r="P146" i="10" s="1"/>
  <c r="N19" i="10"/>
  <c r="R19" i="10" s="1"/>
  <c r="N145" i="10"/>
  <c r="R145" i="10" s="1"/>
  <c r="N154" i="10"/>
  <c r="R154" i="10" s="1"/>
  <c r="N152" i="10"/>
  <c r="R152" i="10" s="1"/>
  <c r="N155" i="10"/>
  <c r="R155" i="10" s="1"/>
  <c r="N92" i="10"/>
  <c r="R92" i="10" s="1"/>
  <c r="N91" i="10"/>
  <c r="R91" i="10" s="1"/>
  <c r="N90" i="10"/>
  <c r="P90" i="10" s="1"/>
  <c r="N140" i="10"/>
  <c r="P140" i="10" s="1"/>
  <c r="P77" i="10"/>
  <c r="N77" i="10"/>
  <c r="R77" i="10" s="1"/>
  <c r="N69" i="10"/>
  <c r="P69" i="10" s="1"/>
  <c r="N63" i="10"/>
  <c r="R63" i="10" s="1"/>
  <c r="N89" i="10"/>
  <c r="P89" i="10" s="1"/>
  <c r="N147" i="10"/>
  <c r="R147" i="10" s="1"/>
  <c r="N102" i="10"/>
  <c r="R102" i="10" s="1"/>
  <c r="N62" i="10"/>
  <c r="R62" i="10" s="1"/>
  <c r="N139" i="10"/>
  <c r="P139" i="10" s="1"/>
  <c r="N59" i="10"/>
  <c r="R59" i="10" s="1"/>
  <c r="R130" i="10"/>
  <c r="N103" i="10"/>
  <c r="R103" i="10" s="1"/>
  <c r="N70" i="10"/>
  <c r="P70" i="10" s="1"/>
  <c r="R60" i="10"/>
  <c r="N3" i="10"/>
  <c r="R3" i="10" s="1"/>
  <c r="N133" i="10"/>
  <c r="R133" i="10" s="1"/>
  <c r="N132" i="10"/>
  <c r="R132" i="10" s="1"/>
  <c r="N131" i="10"/>
  <c r="P131" i="10" s="1"/>
  <c r="N104" i="10"/>
  <c r="R104" i="10" s="1"/>
  <c r="N128" i="10"/>
  <c r="R128" i="10" s="1"/>
  <c r="P127" i="10"/>
  <c r="N126" i="10"/>
  <c r="R126" i="10" s="1"/>
  <c r="N115" i="10"/>
  <c r="P115" i="10" s="1"/>
  <c r="N117" i="10"/>
  <c r="P117" i="10" s="1"/>
  <c r="N116" i="10"/>
  <c r="P116" i="10" s="1"/>
  <c r="N114" i="10"/>
  <c r="P114" i="10" s="1"/>
  <c r="N108" i="10"/>
  <c r="R108" i="10" s="1"/>
  <c r="N53" i="10"/>
  <c r="R53" i="10" s="1"/>
  <c r="N54" i="10"/>
  <c r="R54" i="10" s="1"/>
  <c r="R95" i="10"/>
  <c r="N94" i="10"/>
  <c r="R94" i="10" s="1"/>
  <c r="N52" i="10"/>
  <c r="R52" i="10" s="1"/>
  <c r="N55" i="10"/>
  <c r="P55" i="10" s="1"/>
  <c r="N93" i="10"/>
  <c r="R93" i="10" s="1"/>
  <c r="N73" i="10"/>
  <c r="R73" i="10" s="1"/>
  <c r="N45" i="10"/>
  <c r="R45" i="10" s="1"/>
  <c r="N44" i="10"/>
  <c r="R44" i="10" s="1"/>
  <c r="N105" i="10"/>
  <c r="R105" i="10" s="1"/>
  <c r="P80" i="10"/>
  <c r="N81" i="10"/>
  <c r="R81" i="10" s="1"/>
  <c r="R74" i="10"/>
  <c r="N39" i="10"/>
  <c r="R39" i="10" s="1"/>
  <c r="N88" i="10"/>
  <c r="R88" i="10" s="1"/>
  <c r="N84" i="10"/>
  <c r="R84" i="10" s="1"/>
  <c r="N71" i="10"/>
  <c r="R71" i="10" s="1"/>
  <c r="N83" i="10"/>
  <c r="R83" i="10" s="1"/>
  <c r="N82" i="10"/>
  <c r="R82" i="10"/>
  <c r="N42" i="10"/>
  <c r="R42" i="10" s="1"/>
  <c r="N43" i="10"/>
  <c r="R43" i="10" s="1"/>
  <c r="N68" i="10"/>
  <c r="R68" i="10" s="1"/>
  <c r="N67" i="10"/>
  <c r="R67" i="10" s="1"/>
  <c r="N65" i="10"/>
  <c r="R65" i="10" s="1"/>
  <c r="N72" i="10"/>
  <c r="R72" i="10" s="1"/>
  <c r="N66" i="10"/>
  <c r="R66" i="10" s="1"/>
  <c r="N41" i="10"/>
  <c r="R41" i="10" s="1"/>
  <c r="N40" i="10"/>
  <c r="P40" i="10" s="1"/>
  <c r="N36" i="10"/>
  <c r="R36" i="10" s="1"/>
  <c r="N37" i="10"/>
  <c r="R37" i="10" s="1"/>
  <c r="N33" i="10"/>
  <c r="R33" i="10" s="1"/>
  <c r="R76" i="10"/>
  <c r="N57" i="10"/>
  <c r="R57" i="10" s="1"/>
  <c r="N8" i="10"/>
  <c r="R8" i="10" s="1"/>
  <c r="N56" i="10"/>
  <c r="R56" i="10" s="1"/>
  <c r="N61" i="10"/>
  <c r="R61" i="10" s="1"/>
  <c r="N75" i="10"/>
  <c r="P75" i="10" s="1"/>
  <c r="L14" i="2"/>
  <c r="N14" i="2" s="1"/>
  <c r="L21" i="2"/>
  <c r="N21" i="2" s="1"/>
  <c r="L20" i="2"/>
  <c r="P20" i="2" s="1"/>
  <c r="L19" i="2"/>
  <c r="N19" i="2" s="1"/>
  <c r="L18" i="2"/>
  <c r="P18" i="2" s="1"/>
  <c r="L17" i="2"/>
  <c r="P17" i="2" s="1"/>
  <c r="L16" i="2"/>
  <c r="P16" i="2" s="1"/>
  <c r="L15" i="2"/>
  <c r="P15" i="2" s="1"/>
  <c r="L13" i="2"/>
  <c r="P13" i="2" s="1"/>
  <c r="L12" i="2"/>
  <c r="P12" i="2" s="1"/>
  <c r="P11" i="2"/>
  <c r="N11" i="2"/>
  <c r="N18" i="2"/>
  <c r="N25" i="10"/>
  <c r="R25" i="10" s="1"/>
  <c r="N64" i="10"/>
  <c r="R64" i="10" s="1"/>
  <c r="N47" i="10"/>
  <c r="R47" i="10" s="1"/>
  <c r="N46" i="10"/>
  <c r="R46" i="10" s="1"/>
  <c r="N24" i="10"/>
  <c r="R24" i="10" s="1"/>
  <c r="N38" i="10"/>
  <c r="R38" i="10" s="1"/>
  <c r="N34" i="10"/>
  <c r="R34" i="10" s="1"/>
  <c r="N14" i="10"/>
  <c r="R14" i="10" s="1"/>
  <c r="N11" i="10"/>
  <c r="R11" i="10" s="1"/>
  <c r="N10" i="10"/>
  <c r="P10" i="10" s="1"/>
  <c r="N7" i="10"/>
  <c r="R7" i="10" s="1"/>
  <c r="R35" i="10"/>
  <c r="N9" i="10"/>
  <c r="P9" i="10" s="1"/>
  <c r="N49" i="10"/>
  <c r="P49" i="10" s="1"/>
  <c r="N48" i="10"/>
  <c r="R48" i="10" s="1"/>
  <c r="N6" i="10"/>
  <c r="P6" i="10" s="1"/>
  <c r="N2" i="10"/>
  <c r="R2" i="10" s="1"/>
  <c r="N15" i="10"/>
  <c r="R15" i="10" s="1"/>
  <c r="N13" i="10"/>
  <c r="P13" i="10" s="1"/>
  <c r="R13" i="10"/>
  <c r="N5" i="10"/>
  <c r="P5" i="10" s="1"/>
  <c r="R22" i="10"/>
  <c r="P22" i="10"/>
  <c r="L154" i="2"/>
  <c r="L126" i="2"/>
  <c r="P126" i="2" s="1"/>
  <c r="L127" i="2"/>
  <c r="P127" i="2" s="1"/>
  <c r="L128" i="2"/>
  <c r="N128" i="2" s="1"/>
  <c r="L122" i="2"/>
  <c r="P122" i="2" s="1"/>
  <c r="L123" i="2"/>
  <c r="P123" i="2" s="1"/>
  <c r="L124" i="2"/>
  <c r="P124" i="2" s="1"/>
  <c r="L118" i="2"/>
  <c r="N118" i="2" s="1"/>
  <c r="L119" i="2"/>
  <c r="P119" i="2" s="1"/>
  <c r="L120" i="2"/>
  <c r="P120" i="2" s="1"/>
  <c r="L90" i="2"/>
  <c r="N90" i="2" s="1"/>
  <c r="L91" i="2"/>
  <c r="P91" i="2" s="1"/>
  <c r="L92" i="2"/>
  <c r="P92" i="2" s="1"/>
  <c r="L93" i="2"/>
  <c r="P93" i="2" s="1"/>
  <c r="L94" i="2"/>
  <c r="P94" i="2" s="1"/>
  <c r="L95" i="2"/>
  <c r="N95" i="2" s="1"/>
  <c r="L96" i="2"/>
  <c r="P96" i="2" s="1"/>
  <c r="L97" i="2"/>
  <c r="P97" i="2" s="1"/>
  <c r="L98" i="2"/>
  <c r="N98" i="2" s="1"/>
  <c r="L99" i="2"/>
  <c r="P99" i="2" s="1"/>
  <c r="L100" i="2"/>
  <c r="P100" i="2" s="1"/>
  <c r="L101" i="2"/>
  <c r="N101" i="2" s="1"/>
  <c r="L102" i="2"/>
  <c r="N102" i="2" s="1"/>
  <c r="L103" i="2"/>
  <c r="N103" i="2" s="1"/>
  <c r="L104" i="2"/>
  <c r="P104" i="2" s="1"/>
  <c r="L105" i="2"/>
  <c r="P105" i="2" s="1"/>
  <c r="L106" i="2"/>
  <c r="P106" i="2" s="1"/>
  <c r="L107" i="2"/>
  <c r="P107" i="2" s="1"/>
  <c r="L108" i="2"/>
  <c r="N108" i="2" s="1"/>
  <c r="L109" i="2"/>
  <c r="P109" i="2" s="1"/>
  <c r="L110" i="2"/>
  <c r="N110" i="2" s="1"/>
  <c r="L111" i="2"/>
  <c r="P111" i="2" s="1"/>
  <c r="L112" i="2"/>
  <c r="P112" i="2" s="1"/>
  <c r="L113" i="2"/>
  <c r="P113" i="2" s="1"/>
  <c r="L114" i="2"/>
  <c r="P114" i="2" s="1"/>
  <c r="L115" i="2"/>
  <c r="P115" i="2" s="1"/>
  <c r="L116" i="2"/>
  <c r="P116" i="2" s="1"/>
  <c r="L80" i="2"/>
  <c r="P80" i="2" s="1"/>
  <c r="L81" i="2"/>
  <c r="P81" i="2"/>
  <c r="L82" i="2"/>
  <c r="P82" i="2" s="1"/>
  <c r="L83" i="2"/>
  <c r="P83" i="2" s="1"/>
  <c r="L84" i="2"/>
  <c r="N84" i="2" s="1"/>
  <c r="L85" i="2"/>
  <c r="P85" i="2" s="1"/>
  <c r="L86" i="2"/>
  <c r="N86" i="2" s="1"/>
  <c r="L87" i="2"/>
  <c r="P87" i="2" s="1"/>
  <c r="L88" i="2"/>
  <c r="P88" i="2"/>
  <c r="L72" i="2"/>
  <c r="P72" i="2" s="1"/>
  <c r="L73" i="2"/>
  <c r="P73" i="2" s="1"/>
  <c r="L74" i="2"/>
  <c r="P74" i="2" s="1"/>
  <c r="L75" i="2"/>
  <c r="P75" i="2"/>
  <c r="L76" i="2"/>
  <c r="P76" i="2" s="1"/>
  <c r="L77" i="2"/>
  <c r="N77" i="2" s="1"/>
  <c r="L78" i="2"/>
  <c r="N78" i="2" s="1"/>
  <c r="L59" i="2"/>
  <c r="P59" i="2" s="1"/>
  <c r="L60" i="2"/>
  <c r="P60" i="2" s="1"/>
  <c r="L61" i="2"/>
  <c r="P61" i="2" s="1"/>
  <c r="L62" i="2"/>
  <c r="P62" i="2" s="1"/>
  <c r="L63" i="2"/>
  <c r="N63" i="2" s="1"/>
  <c r="L64" i="2"/>
  <c r="P64" i="2" s="1"/>
  <c r="L65" i="2"/>
  <c r="N65" i="2" s="1"/>
  <c r="L66" i="2"/>
  <c r="P66" i="2" s="1"/>
  <c r="L67" i="2"/>
  <c r="N67" i="2" s="1"/>
  <c r="L68" i="2"/>
  <c r="N68" i="2" s="1"/>
  <c r="L69" i="2"/>
  <c r="P69" i="2" s="1"/>
  <c r="L46" i="2"/>
  <c r="P46" i="2" s="1"/>
  <c r="L47" i="2"/>
  <c r="P47" i="2" s="1"/>
  <c r="L48" i="2"/>
  <c r="P48" i="2" s="1"/>
  <c r="L49" i="2"/>
  <c r="P49" i="2" s="1"/>
  <c r="L50" i="2"/>
  <c r="N50" i="2" s="1"/>
  <c r="L51" i="2"/>
  <c r="N51" i="2" s="1"/>
  <c r="L52" i="2"/>
  <c r="P52" i="2" s="1"/>
  <c r="L53" i="2"/>
  <c r="N53" i="2" s="1"/>
  <c r="L54" i="2"/>
  <c r="P54" i="2" s="1"/>
  <c r="N54" i="2"/>
  <c r="L55" i="2"/>
  <c r="P55" i="2"/>
  <c r="L56" i="2"/>
  <c r="P56" i="2" s="1"/>
  <c r="L57" i="2"/>
  <c r="P57" i="2" s="1"/>
  <c r="L37" i="2"/>
  <c r="P37" i="2" s="1"/>
  <c r="L38" i="2"/>
  <c r="P38" i="2" s="1"/>
  <c r="L39" i="2"/>
  <c r="P39" i="2" s="1"/>
  <c r="L40" i="2"/>
  <c r="P40" i="2" s="1"/>
  <c r="L41" i="2"/>
  <c r="P41" i="2" s="1"/>
  <c r="L42" i="2"/>
  <c r="P42" i="2" s="1"/>
  <c r="L43" i="2"/>
  <c r="P43" i="2" s="1"/>
  <c r="L44" i="2"/>
  <c r="N44" i="2" s="1"/>
  <c r="L22" i="2"/>
  <c r="P22" i="2" s="1"/>
  <c r="L23" i="2"/>
  <c r="P23" i="2" s="1"/>
  <c r="L24" i="2"/>
  <c r="P24" i="2" s="1"/>
  <c r="L25" i="2"/>
  <c r="P25" i="2" s="1"/>
  <c r="L26" i="2"/>
  <c r="N26" i="2" s="1"/>
  <c r="L27" i="2"/>
  <c r="P27" i="2" s="1"/>
  <c r="L28" i="2"/>
  <c r="P28" i="2" s="1"/>
  <c r="L29" i="2"/>
  <c r="N29" i="2" s="1"/>
  <c r="L30" i="2"/>
  <c r="P30" i="2" s="1"/>
  <c r="L31" i="2"/>
  <c r="N31" i="2" s="1"/>
  <c r="L32" i="2"/>
  <c r="P32" i="2"/>
  <c r="L33" i="2"/>
  <c r="P33" i="2" s="1"/>
  <c r="L34" i="2"/>
  <c r="P34" i="2" s="1"/>
  <c r="P5" i="2"/>
  <c r="P6" i="2"/>
  <c r="P7" i="2"/>
  <c r="P8" i="2"/>
  <c r="L2" i="2"/>
  <c r="P2" i="2" s="1"/>
  <c r="L3" i="2"/>
  <c r="N3" i="2" s="1"/>
  <c r="R16" i="10"/>
  <c r="P29" i="2"/>
  <c r="P77" i="2"/>
  <c r="L117" i="2"/>
  <c r="P117" i="2" s="1"/>
  <c r="L121" i="2"/>
  <c r="P121" i="2" s="1"/>
  <c r="N12" i="10"/>
  <c r="R12" i="10" s="1"/>
  <c r="J67" i="1"/>
  <c r="N67" i="1" s="1"/>
  <c r="J125" i="1"/>
  <c r="N125" i="1" s="1"/>
  <c r="L140" i="2"/>
  <c r="P140" i="2" s="1"/>
  <c r="L132" i="2"/>
  <c r="N132" i="2" s="1"/>
  <c r="L139" i="2"/>
  <c r="P139" i="2" s="1"/>
  <c r="L131" i="2"/>
  <c r="P131" i="2" s="1"/>
  <c r="L133" i="2"/>
  <c r="P133" i="2" s="1"/>
  <c r="L138" i="2"/>
  <c r="P138" i="2"/>
  <c r="L129" i="2"/>
  <c r="P129" i="2" s="1"/>
  <c r="L135" i="2"/>
  <c r="P135" i="2" s="1"/>
  <c r="L136" i="2"/>
  <c r="P136" i="2" s="1"/>
  <c r="L137" i="2"/>
  <c r="P137" i="2" s="1"/>
  <c r="L134" i="2"/>
  <c r="P134" i="2" s="1"/>
  <c r="L130" i="2"/>
  <c r="P130" i="2" s="1"/>
  <c r="L125" i="2"/>
  <c r="P125" i="2" s="1"/>
  <c r="L89" i="2"/>
  <c r="P89" i="2" s="1"/>
  <c r="L79" i="2"/>
  <c r="P79" i="2" s="1"/>
  <c r="L71" i="2"/>
  <c r="P71" i="2" s="1"/>
  <c r="L70" i="2"/>
  <c r="P70" i="2" s="1"/>
  <c r="L45" i="2"/>
  <c r="P45" i="2" s="1"/>
  <c r="L58" i="2"/>
  <c r="P58" i="2" s="1"/>
  <c r="I133" i="1"/>
  <c r="L35" i="2"/>
  <c r="P35" i="2" s="1"/>
  <c r="L36" i="2"/>
  <c r="P36" i="2" s="1"/>
  <c r="J131" i="1"/>
  <c r="L131" i="1" s="1"/>
  <c r="L4" i="2"/>
  <c r="P4" i="2" s="1"/>
  <c r="J130" i="1"/>
  <c r="L130" i="1" s="1"/>
  <c r="J129" i="1"/>
  <c r="J132" i="1"/>
  <c r="N132" i="1" s="1"/>
  <c r="J128" i="1"/>
  <c r="N128" i="1" s="1"/>
  <c r="J124" i="1"/>
  <c r="L124" i="1" s="1"/>
  <c r="J123" i="1"/>
  <c r="N123" i="1" s="1"/>
  <c r="J122" i="1"/>
  <c r="L122" i="1" s="1"/>
  <c r="J121" i="1"/>
  <c r="N121" i="1" s="1"/>
  <c r="N130" i="1"/>
  <c r="J80" i="1"/>
  <c r="N80" i="1" s="1"/>
  <c r="J90" i="1"/>
  <c r="N90" i="1" s="1"/>
  <c r="J79" i="1"/>
  <c r="N79" i="1" s="1"/>
  <c r="J57" i="1"/>
  <c r="N57" i="1" s="1"/>
  <c r="J41" i="1"/>
  <c r="L41" i="1" s="1"/>
  <c r="J104" i="1"/>
  <c r="N104" i="1" s="1"/>
  <c r="J102" i="1"/>
  <c r="N102" i="1" s="1"/>
  <c r="J92" i="1"/>
  <c r="L92" i="1" s="1"/>
  <c r="J64" i="1"/>
  <c r="N64" i="1" s="1"/>
  <c r="J62" i="1"/>
  <c r="N62" i="1" s="1"/>
  <c r="J58" i="1"/>
  <c r="N58" i="1" s="1"/>
  <c r="J47" i="1"/>
  <c r="N47" i="1" s="1"/>
  <c r="J87" i="1"/>
  <c r="N87" i="1" s="1"/>
  <c r="J91" i="1"/>
  <c r="N91" i="1" s="1"/>
  <c r="J110" i="1"/>
  <c r="L110" i="1" s="1"/>
  <c r="J115" i="1"/>
  <c r="N115" i="1" s="1"/>
  <c r="J88" i="1"/>
  <c r="L88" i="1" s="1"/>
  <c r="J109" i="1"/>
  <c r="N109" i="1" s="1"/>
  <c r="J114" i="1"/>
  <c r="N114" i="1" s="1"/>
  <c r="J78" i="1"/>
  <c r="L78" i="1" s="1"/>
  <c r="J89" i="1"/>
  <c r="L89" i="1" s="1"/>
  <c r="J118" i="1"/>
  <c r="N118" i="1" s="1"/>
  <c r="J94" i="1"/>
  <c r="N94" i="1" s="1"/>
  <c r="J93" i="1"/>
  <c r="N93" i="1" s="1"/>
  <c r="J113" i="1"/>
  <c r="N113" i="1" s="1"/>
  <c r="J85" i="1"/>
  <c r="N85" i="1" s="1"/>
  <c r="N129" i="1"/>
  <c r="J126" i="1"/>
  <c r="L126" i="1" s="1"/>
  <c r="J120" i="1"/>
  <c r="N120" i="1" s="1"/>
  <c r="J119" i="1"/>
  <c r="N119" i="1" s="1"/>
  <c r="L15" i="1"/>
  <c r="N15" i="1"/>
  <c r="N63" i="1"/>
  <c r="N49" i="1"/>
  <c r="N73" i="1"/>
  <c r="J10" i="1"/>
  <c r="N10" i="1" s="1"/>
  <c r="J9" i="1"/>
  <c r="N9" i="1" s="1"/>
  <c r="J20" i="1"/>
  <c r="L20" i="1" s="1"/>
  <c r="J11" i="1"/>
  <c r="N11" i="1" s="1"/>
  <c r="J2" i="1"/>
  <c r="L21" i="1"/>
  <c r="N21" i="1"/>
  <c r="N19" i="1"/>
  <c r="N18" i="1"/>
  <c r="N16" i="1"/>
  <c r="N13" i="1"/>
  <c r="N12" i="1"/>
  <c r="N8" i="1"/>
  <c r="N7" i="1"/>
  <c r="N6" i="1"/>
  <c r="N5" i="1"/>
  <c r="N4" i="1"/>
  <c r="N3" i="1"/>
  <c r="J75" i="1"/>
  <c r="L75" i="1" s="1"/>
  <c r="J86" i="1"/>
  <c r="N86" i="1" s="1"/>
  <c r="J96" i="1"/>
  <c r="N96" i="1" s="1"/>
  <c r="J84" i="1"/>
  <c r="L84" i="1" s="1"/>
  <c r="J71" i="1"/>
  <c r="N71" i="1" s="1"/>
  <c r="J43" i="1"/>
  <c r="N43" i="1" s="1"/>
  <c r="J97" i="1"/>
  <c r="N97" i="1" s="1"/>
  <c r="J60" i="1"/>
  <c r="N60" i="1" s="1"/>
  <c r="J52" i="1"/>
  <c r="N52" i="1" s="1"/>
  <c r="J45" i="1"/>
  <c r="L45" i="1" s="1"/>
  <c r="J107" i="1"/>
  <c r="N107" i="1" s="1"/>
  <c r="J51" i="1"/>
  <c r="N51" i="1" s="1"/>
  <c r="J32" i="1"/>
  <c r="L32" i="1" s="1"/>
  <c r="J44" i="1"/>
  <c r="N44" i="1" s="1"/>
  <c r="J31" i="1"/>
  <c r="N31" i="1" s="1"/>
  <c r="J35" i="1"/>
  <c r="N35" i="1" s="1"/>
  <c r="J33" i="1"/>
  <c r="N33" i="1" s="1"/>
  <c r="J29" i="1"/>
  <c r="L29" i="1" s="1"/>
  <c r="J26" i="1"/>
  <c r="N26" i="1" s="1"/>
  <c r="J17" i="1"/>
  <c r="N17" i="1" s="1"/>
  <c r="J38" i="1"/>
  <c r="N38" i="1" s="1"/>
  <c r="J65" i="1"/>
  <c r="N65" i="1" s="1"/>
  <c r="J50" i="1"/>
  <c r="N50" i="1" s="1"/>
  <c r="J54" i="1"/>
  <c r="N54" i="1" s="1"/>
  <c r="N46" i="1"/>
  <c r="N77" i="1"/>
  <c r="N116" i="1"/>
  <c r="J111" i="1"/>
  <c r="N111" i="1" s="1"/>
  <c r="J108" i="1"/>
  <c r="N108" i="1" s="1"/>
  <c r="J99" i="1"/>
  <c r="L99" i="1" s="1"/>
  <c r="J98" i="1"/>
  <c r="L98" i="1" s="1"/>
  <c r="L97" i="1"/>
  <c r="J117" i="1"/>
  <c r="N117" i="1" s="1"/>
  <c r="J66" i="1"/>
  <c r="N66" i="1" s="1"/>
  <c r="J106" i="1"/>
  <c r="N106" i="1" s="1"/>
  <c r="J105" i="1"/>
  <c r="L105" i="1" s="1"/>
  <c r="J103" i="1"/>
  <c r="N103" i="1" s="1"/>
  <c r="J72" i="1"/>
  <c r="L72" i="1" s="1"/>
  <c r="J69" i="1"/>
  <c r="L69" i="1" s="1"/>
  <c r="J61" i="1"/>
  <c r="L61" i="1" s="1"/>
  <c r="J56" i="1"/>
  <c r="L56" i="1" s="1"/>
  <c r="J95" i="1"/>
  <c r="N95" i="1" s="1"/>
  <c r="N112" i="1"/>
  <c r="L63" i="1"/>
  <c r="J70" i="1"/>
  <c r="N70" i="1" s="1"/>
  <c r="J48" i="1"/>
  <c r="N48" i="1" s="1"/>
  <c r="J55" i="1"/>
  <c r="L55" i="1" s="1"/>
  <c r="J53" i="1"/>
  <c r="N53" i="1" s="1"/>
  <c r="L49" i="1"/>
  <c r="J40" i="1"/>
  <c r="L40" i="1" s="1"/>
  <c r="J34" i="1"/>
  <c r="L34" i="1" s="1"/>
  <c r="J39" i="1"/>
  <c r="N39" i="1" s="1"/>
  <c r="J59" i="1"/>
  <c r="L59" i="1" s="1"/>
  <c r="N27" i="1"/>
  <c r="J74" i="1"/>
  <c r="L74" i="1" s="1"/>
  <c r="J42" i="1"/>
  <c r="N42" i="1" s="1"/>
  <c r="J36" i="1"/>
  <c r="N36" i="1" s="1"/>
  <c r="J37" i="1"/>
  <c r="N37" i="1" s="1"/>
  <c r="J28" i="1"/>
  <c r="N28" i="1" s="1"/>
  <c r="J30" i="1"/>
  <c r="L30" i="1" s="1"/>
  <c r="J22" i="1"/>
  <c r="N22" i="1" s="1"/>
  <c r="J24" i="1"/>
  <c r="L24" i="1" s="1"/>
  <c r="J25" i="1"/>
  <c r="N25" i="1" s="1"/>
  <c r="L73" i="1"/>
  <c r="J23" i="1"/>
  <c r="N23" i="1" s="1"/>
  <c r="N82" i="1"/>
  <c r="J81" i="1"/>
  <c r="N81" i="1" s="1"/>
  <c r="J83" i="1"/>
  <c r="N83" i="1" s="1"/>
  <c r="N2" i="1"/>
  <c r="L119" i="1"/>
  <c r="L87" i="1"/>
  <c r="Q204" i="11" l="1"/>
  <c r="T35" i="11"/>
  <c r="V35" i="11"/>
  <c r="W36" i="11"/>
  <c r="X36" i="11" s="1"/>
  <c r="W53" i="11"/>
  <c r="X53" i="11" s="1"/>
  <c r="W55" i="11"/>
  <c r="X55" i="11" s="1"/>
  <c r="R22" i="11"/>
  <c r="R204" i="11" s="1"/>
  <c r="N47" i="2"/>
  <c r="T77" i="11"/>
  <c r="W77" i="11"/>
  <c r="X77" i="11" s="1"/>
  <c r="V60" i="11"/>
  <c r="W60" i="11"/>
  <c r="X60" i="11" s="1"/>
  <c r="W45" i="11"/>
  <c r="X45" i="11" s="1"/>
  <c r="V59" i="11"/>
  <c r="W59" i="11"/>
  <c r="X59" i="11" s="1"/>
  <c r="V2" i="11"/>
  <c r="W2" i="11"/>
  <c r="V141" i="11"/>
  <c r="W141" i="11"/>
  <c r="X141" i="11" s="1"/>
  <c r="V92" i="11"/>
  <c r="W92" i="11"/>
  <c r="X92" i="11" s="1"/>
  <c r="V43" i="11"/>
  <c r="W43" i="11"/>
  <c r="X43" i="11" s="1"/>
  <c r="W75" i="11"/>
  <c r="X75" i="11" s="1"/>
  <c r="V73" i="11"/>
  <c r="W73" i="11"/>
  <c r="X73" i="11" s="1"/>
  <c r="V37" i="11"/>
  <c r="W37" i="11"/>
  <c r="X37" i="11" s="1"/>
  <c r="W101" i="11"/>
  <c r="X101" i="11" s="1"/>
  <c r="V98" i="11"/>
  <c r="W98" i="11"/>
  <c r="X98" i="11" s="1"/>
  <c r="V38" i="11"/>
  <c r="W38" i="11"/>
  <c r="X38" i="11" s="1"/>
  <c r="V42" i="11"/>
  <c r="W42" i="11"/>
  <c r="X42" i="11" s="1"/>
  <c r="W88" i="11"/>
  <c r="X88" i="11" s="1"/>
  <c r="V78" i="11"/>
  <c r="W78" i="11"/>
  <c r="X78" i="11" s="1"/>
  <c r="V52" i="11"/>
  <c r="W52" i="11"/>
  <c r="X52" i="11" s="1"/>
  <c r="V63" i="11"/>
  <c r="W63" i="11"/>
  <c r="X63" i="11" s="1"/>
  <c r="V57" i="11"/>
  <c r="W57" i="11"/>
  <c r="X57" i="11" s="1"/>
  <c r="V80" i="11"/>
  <c r="W80" i="11"/>
  <c r="X80" i="11" s="1"/>
  <c r="V51" i="11"/>
  <c r="W51" i="11"/>
  <c r="X51" i="11" s="1"/>
  <c r="V62" i="11"/>
  <c r="W62" i="11"/>
  <c r="X62" i="11" s="1"/>
  <c r="V56" i="11"/>
  <c r="W56" i="11"/>
  <c r="X56" i="11" s="1"/>
  <c r="W102" i="11"/>
  <c r="X102" i="11" s="1"/>
  <c r="V95" i="11"/>
  <c r="W95" i="11"/>
  <c r="X95" i="11" s="1"/>
  <c r="V79" i="11"/>
  <c r="W79" i="11"/>
  <c r="X79" i="11" s="1"/>
  <c r="T74" i="11"/>
  <c r="W74" i="11"/>
  <c r="X74" i="11" s="1"/>
  <c r="T50" i="11"/>
  <c r="W50" i="11"/>
  <c r="X50" i="11" s="1"/>
  <c r="T49" i="11"/>
  <c r="W49" i="11"/>
  <c r="X49" i="11" s="1"/>
  <c r="V93" i="11"/>
  <c r="W93" i="11"/>
  <c r="X93" i="11" s="1"/>
  <c r="V45" i="11"/>
  <c r="V21" i="11"/>
  <c r="W21" i="11"/>
  <c r="T3" i="11"/>
  <c r="W3" i="11"/>
  <c r="V29" i="11"/>
  <c r="W29" i="11"/>
  <c r="V10" i="11"/>
  <c r="W10" i="11"/>
  <c r="V28" i="11"/>
  <c r="W28" i="11"/>
  <c r="V88" i="11"/>
  <c r="V27" i="11"/>
  <c r="W27" i="11"/>
  <c r="T17" i="11"/>
  <c r="W17" i="11"/>
  <c r="V7" i="11"/>
  <c r="W7" i="11"/>
  <c r="V31" i="11"/>
  <c r="W31" i="11"/>
  <c r="V4" i="11"/>
  <c r="W4" i="11"/>
  <c r="V72" i="11"/>
  <c r="V26" i="11"/>
  <c r="W26" i="11"/>
  <c r="V16" i="11"/>
  <c r="W16" i="11"/>
  <c r="V6" i="11"/>
  <c r="W6" i="11"/>
  <c r="V70" i="11"/>
  <c r="V102" i="11"/>
  <c r="T25" i="11"/>
  <c r="W25" i="11"/>
  <c r="V15" i="11"/>
  <c r="W15" i="11"/>
  <c r="V13" i="11"/>
  <c r="W13" i="11"/>
  <c r="V32" i="11"/>
  <c r="W32" i="11"/>
  <c r="T20" i="11"/>
  <c r="W20" i="11"/>
  <c r="T19" i="11"/>
  <c r="W19" i="11"/>
  <c r="V18" i="11"/>
  <c r="W18" i="11"/>
  <c r="V46" i="11"/>
  <c r="T14" i="11"/>
  <c r="W14" i="11"/>
  <c r="V5" i="11"/>
  <c r="W5" i="11"/>
  <c r="V101" i="11"/>
  <c r="V76" i="11"/>
  <c r="V75" i="11"/>
  <c r="V53" i="11"/>
  <c r="V55" i="11"/>
  <c r="V36" i="11"/>
  <c r="W35" i="11"/>
  <c r="X35" i="11" s="1"/>
  <c r="V83" i="11"/>
  <c r="W83" i="11"/>
  <c r="X83" i="11" s="1"/>
  <c r="V58" i="11"/>
  <c r="V106" i="11"/>
  <c r="W106" i="11"/>
  <c r="X106" i="11" s="1"/>
  <c r="V135" i="11"/>
  <c r="W135" i="11"/>
  <c r="X135" i="11" s="1"/>
  <c r="V111" i="11"/>
  <c r="W111" i="11"/>
  <c r="X111" i="11" s="1"/>
  <c r="T85" i="11"/>
  <c r="W85" i="11"/>
  <c r="X85" i="11" s="1"/>
  <c r="V91" i="11"/>
  <c r="W91" i="11"/>
  <c r="X91" i="11" s="1"/>
  <c r="V87" i="11"/>
  <c r="T87" i="11"/>
  <c r="W87" i="11"/>
  <c r="X87" i="11" s="1"/>
  <c r="N20" i="2"/>
  <c r="P110" i="2"/>
  <c r="N111" i="2"/>
  <c r="P90" i="2"/>
  <c r="V94" i="11"/>
  <c r="V40" i="11"/>
  <c r="T135" i="11"/>
  <c r="T79" i="11"/>
  <c r="V85" i="11"/>
  <c r="T106" i="11"/>
  <c r="T91" i="11"/>
  <c r="T111" i="11"/>
  <c r="R146" i="10"/>
  <c r="P34" i="10"/>
  <c r="P7" i="10"/>
  <c r="P48" i="10"/>
  <c r="P67" i="10"/>
  <c r="R69" i="10"/>
  <c r="R156" i="10"/>
  <c r="R115" i="10"/>
  <c r="R116" i="10"/>
  <c r="R6" i="10"/>
  <c r="R131" i="10"/>
  <c r="R89" i="10"/>
  <c r="P126" i="10"/>
  <c r="R5" i="10"/>
  <c r="P65" i="10"/>
  <c r="P44" i="10"/>
  <c r="P61" i="10"/>
  <c r="R9" i="10"/>
  <c r="R10" i="10"/>
  <c r="R139" i="10"/>
  <c r="P163" i="10"/>
  <c r="R49" i="10"/>
  <c r="R55" i="10"/>
  <c r="R117" i="10"/>
  <c r="R90" i="10"/>
  <c r="P53" i="10"/>
  <c r="R129" i="10"/>
  <c r="R40" i="10"/>
  <c r="P88" i="10"/>
  <c r="R114" i="10"/>
  <c r="P145" i="10"/>
  <c r="P66" i="10"/>
  <c r="I175" i="10"/>
  <c r="B172" i="10" s="1"/>
  <c r="P42" i="10"/>
  <c r="P105" i="10"/>
  <c r="P25" i="10"/>
  <c r="P102" i="10"/>
  <c r="R80" i="10"/>
  <c r="P3" i="10"/>
  <c r="P58" i="10"/>
  <c r="P36" i="10"/>
  <c r="P15" i="10"/>
  <c r="R75" i="10"/>
  <c r="R70" i="10"/>
  <c r="R140" i="10"/>
  <c r="P141" i="10"/>
  <c r="P102" i="2"/>
  <c r="N4" i="2"/>
  <c r="N104" i="2"/>
  <c r="P53" i="2"/>
  <c r="P132" i="2"/>
  <c r="N87" i="2"/>
  <c r="N46" i="2"/>
  <c r="P108" i="2"/>
  <c r="P68" i="2"/>
  <c r="P101" i="2"/>
  <c r="N73" i="2"/>
  <c r="P51" i="2"/>
  <c r="N38" i="2"/>
  <c r="N37" i="2"/>
  <c r="N34" i="2"/>
  <c r="N13" i="2"/>
  <c r="P44" i="2"/>
  <c r="N114" i="2"/>
  <c r="N25" i="2"/>
  <c r="P3" i="2"/>
  <c r="N106" i="2"/>
  <c r="N131" i="2"/>
  <c r="N64" i="2"/>
  <c r="N127" i="2"/>
  <c r="P86" i="2"/>
  <c r="P14" i="2"/>
  <c r="N122" i="1"/>
  <c r="N20" i="1"/>
  <c r="L128" i="1"/>
  <c r="N99" i="1"/>
  <c r="N92" i="1"/>
  <c r="L91" i="1"/>
  <c r="L102" i="1"/>
  <c r="L58" i="1"/>
  <c r="L114" i="1"/>
  <c r="N105" i="1"/>
  <c r="L121" i="1"/>
  <c r="L96" i="1"/>
  <c r="L113" i="1"/>
  <c r="L79" i="1"/>
  <c r="L62" i="1"/>
  <c r="L107" i="1"/>
  <c r="N29" i="1"/>
  <c r="L64" i="1"/>
  <c r="N69" i="1"/>
  <c r="L132" i="1"/>
  <c r="L108" i="1"/>
  <c r="P98" i="2"/>
  <c r="P63" i="2"/>
  <c r="N15" i="2"/>
  <c r="P19" i="2"/>
  <c r="L142" i="2"/>
  <c r="F148" i="2"/>
  <c r="F149" i="2" s="1"/>
  <c r="N99" i="2"/>
  <c r="N94" i="2"/>
  <c r="P103" i="2"/>
  <c r="N16" i="2"/>
  <c r="P78" i="2"/>
  <c r="P67" i="2"/>
  <c r="P26" i="2"/>
  <c r="P65" i="2"/>
  <c r="N49" i="2"/>
  <c r="N58" i="2"/>
  <c r="P128" i="2"/>
  <c r="P50" i="2"/>
  <c r="N30" i="2"/>
  <c r="P31" i="2"/>
  <c r="N43" i="2"/>
  <c r="N76" i="2"/>
  <c r="N72" i="2"/>
  <c r="N12" i="2"/>
  <c r="P21" i="2"/>
  <c r="P95" i="2"/>
  <c r="N109" i="2"/>
  <c r="N52" i="2"/>
  <c r="P84" i="2"/>
  <c r="N113" i="2"/>
  <c r="N17" i="2"/>
  <c r="P118" i="2"/>
  <c r="L109" i="1"/>
  <c r="L106" i="1"/>
  <c r="N40" i="1"/>
  <c r="N30" i="1"/>
  <c r="N89" i="1"/>
  <c r="N41" i="1"/>
  <c r="L39" i="1"/>
  <c r="N88" i="1"/>
  <c r="L37" i="1"/>
  <c r="L23" i="1"/>
  <c r="N98" i="1"/>
  <c r="N45" i="1"/>
  <c r="N126" i="1"/>
  <c r="L38" i="1"/>
  <c r="N24" i="1"/>
  <c r="N34" i="1"/>
  <c r="L117" i="1"/>
  <c r="N61" i="1"/>
  <c r="L60" i="1"/>
  <c r="L70" i="1"/>
  <c r="L123" i="1"/>
  <c r="L104" i="1"/>
  <c r="N110" i="1"/>
  <c r="N84" i="1"/>
  <c r="D138" i="1"/>
  <c r="B137" i="1" s="1"/>
  <c r="B138" i="1" s="1"/>
  <c r="B139" i="1" s="1"/>
  <c r="N78" i="1"/>
  <c r="N131" i="1"/>
  <c r="N59" i="1"/>
  <c r="L53" i="1"/>
  <c r="N32" i="1"/>
  <c r="L103" i="1"/>
  <c r="L47" i="1"/>
  <c r="L57" i="1"/>
  <c r="N124" i="1"/>
  <c r="J133" i="1"/>
  <c r="N74" i="1"/>
  <c r="L95" i="1"/>
  <c r="N56" i="1"/>
  <c r="N72" i="1"/>
  <c r="L28" i="1"/>
  <c r="L48" i="1"/>
  <c r="N75" i="1"/>
  <c r="L25" i="1"/>
  <c r="L120" i="1"/>
  <c r="N55" i="1"/>
  <c r="L71" i="1"/>
  <c r="T12" i="11"/>
  <c r="V47" i="11"/>
  <c r="T10" i="11"/>
  <c r="T62" i="11"/>
  <c r="V12" i="11"/>
  <c r="X12" i="11" s="1"/>
  <c r="V3" i="11"/>
  <c r="V19" i="11"/>
  <c r="V77" i="11"/>
  <c r="V50" i="11"/>
  <c r="T4" i="11"/>
  <c r="T2" i="11"/>
  <c r="V17" i="11"/>
  <c r="V49" i="11"/>
  <c r="V25" i="11"/>
  <c r="T92" i="11"/>
  <c r="T75" i="11"/>
  <c r="V74" i="11"/>
  <c r="T94" i="11"/>
  <c r="V14" i="11"/>
  <c r="T78" i="11"/>
  <c r="V20" i="11"/>
  <c r="T59" i="11"/>
  <c r="R210" i="11" l="1"/>
  <c r="T204" i="11"/>
  <c r="S210" i="11" s="1"/>
  <c r="W22" i="11"/>
  <c r="W204" i="11" s="1"/>
  <c r="V22" i="11"/>
  <c r="V204" i="11" s="1"/>
  <c r="X2" i="11"/>
  <c r="M194" i="11"/>
  <c r="X19" i="11"/>
  <c r="X17" i="11"/>
  <c r="X18" i="11"/>
  <c r="X4" i="11"/>
  <c r="X29" i="11"/>
  <c r="X5" i="11"/>
  <c r="X21" i="11"/>
  <c r="X3" i="11"/>
  <c r="X14" i="11"/>
  <c r="X15" i="11"/>
  <c r="X6" i="11"/>
  <c r="X10" i="11"/>
  <c r="X26" i="11"/>
  <c r="X7" i="11"/>
  <c r="X20" i="11"/>
  <c r="X25" i="11"/>
  <c r="X28" i="11"/>
  <c r="X16" i="11"/>
  <c r="X27" i="11"/>
  <c r="X31" i="11"/>
  <c r="X13" i="11"/>
  <c r="X32" i="11"/>
  <c r="L175" i="10"/>
  <c r="B173" i="10"/>
  <c r="B174" i="10" s="1"/>
  <c r="J175" i="10"/>
  <c r="G148" i="2"/>
  <c r="G149" i="2" s="1"/>
  <c r="H148" i="2"/>
  <c r="H149" i="2" s="1"/>
  <c r="F138" i="1"/>
  <c r="F139" i="1" s="1"/>
  <c r="D147" i="2"/>
  <c r="D148" i="2" s="1"/>
  <c r="D149" i="2" s="1"/>
  <c r="I182" i="10"/>
  <c r="E138" i="1"/>
  <c r="E139" i="1" s="1"/>
  <c r="D139" i="1"/>
  <c r="N133" i="1"/>
  <c r="L133" i="1"/>
  <c r="S211" i="11" l="1"/>
  <c r="S212" i="11" s="1"/>
  <c r="R218" i="11"/>
  <c r="R211" i="11"/>
  <c r="R212" i="11" s="1"/>
  <c r="T210" i="11"/>
  <c r="T211" i="11" s="1"/>
  <c r="T212" i="11" s="1"/>
  <c r="N194" i="11"/>
  <c r="X22" i="11"/>
  <c r="X204" i="11" s="1"/>
  <c r="G13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tc={188B1FE9-BDCA-4E75-B6F0-7D7126520D39}</author>
  </authors>
  <commentList>
    <comment ref="M102" authorId="0" shapeId="0" xr:uid="{188B1FE9-BDCA-4E75-B6F0-7D7126520D3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REVISAR, LA PRIMA NETA DE LA POLIZA ES DE 110,382.52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tc={9E17B98D-87FE-4393-85CE-C62F181ED396}</author>
    <author>tc={48B96FED-CA43-4277-A8E1-0B88D8A1152F}</author>
    <author>Angela Polanía</author>
    <author>tc={C09F420B-2C44-4C2B-B233-95613419769A}</author>
  </authors>
  <commentList>
    <comment ref="Q6" authorId="0" shapeId="0" xr:uid="{9E17B98D-87FE-4393-85CE-C62F181ED39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Revisar prima en la póliza</t>
      </text>
    </comment>
    <comment ref="Q51" authorId="1" shapeId="0" xr:uid="{48B96FED-CA43-4277-A8E1-0B88D8A1152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REVISAR PRIMA NO COINCIDE</t>
      </text>
    </comment>
    <comment ref="B93" authorId="2" shapeId="0" xr:uid="{E809F9A0-1D28-41CA-A974-9161E8A04D16}">
      <text>
        <r>
          <rPr>
            <b/>
            <sz val="9"/>
            <color indexed="81"/>
            <rFont val="Tahoma"/>
            <family val="2"/>
          </rPr>
          <t>Ya esta cargada. Pero deben cargar la comisión y división de comisiones ya que aquí no estaba</t>
        </r>
      </text>
    </comment>
    <comment ref="V114" authorId="3" shapeId="0" xr:uid="{C09F420B-2C44-4C2B-B233-95613419769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recibida en US, </t>
      </text>
    </comment>
  </commentList>
</comments>
</file>

<file path=xl/sharedStrings.xml><?xml version="1.0" encoding="utf-8"?>
<sst xmlns="http://schemas.openxmlformats.org/spreadsheetml/2006/main" count="9649" uniqueCount="2074">
  <si>
    <t>INSURED NAME</t>
  </si>
  <si>
    <t xml:space="preserve">PRODUCCION </t>
  </si>
  <si>
    <t>NÚMERO DE PÓLIZA</t>
  </si>
  <si>
    <t>FECHA DE EMISIÓN</t>
  </si>
  <si>
    <t>MES DE EMISION</t>
  </si>
  <si>
    <t>PRODUCT/ COVERAGE OFFERED</t>
  </si>
  <si>
    <t>NEGOCIO ENTRANTE DE</t>
  </si>
  <si>
    <t>INSURER</t>
  </si>
  <si>
    <t>PRIMA NETA</t>
  </si>
  <si>
    <t>COMISION TOTAL</t>
  </si>
  <si>
    <t>SE COMPARTE COMISIÓN</t>
  </si>
  <si>
    <t>COMISIÓN PARTNER</t>
  </si>
  <si>
    <t>COMISIÓN PAGADA AL PARTNER</t>
  </si>
  <si>
    <t>COMISIÓN RISKMEDIA</t>
  </si>
  <si>
    <t>COMISIÓN PAGADA A RISKMEDIA</t>
  </si>
  <si>
    <t>PAGADA POR EL CLIENTE</t>
  </si>
  <si>
    <t>FECHA DE PAGO</t>
  </si>
  <si>
    <t>No DE FACTURA</t>
  </si>
  <si>
    <t>MES DE FACTURACION</t>
  </si>
  <si>
    <t>COMENTARIOS</t>
  </si>
  <si>
    <t xml:space="preserve">TVG TVGroup </t>
  </si>
  <si>
    <t>Iron Chef</t>
  </si>
  <si>
    <t>OCTUBRE 2021</t>
  </si>
  <si>
    <t xml:space="preserve">Filmpackage </t>
  </si>
  <si>
    <t>Riskmedia</t>
  </si>
  <si>
    <t>Berkley</t>
  </si>
  <si>
    <t>NO</t>
  </si>
  <si>
    <t>PAGADA</t>
  </si>
  <si>
    <t>MARZO</t>
  </si>
  <si>
    <t>Mediapro</t>
  </si>
  <si>
    <t>Muxes</t>
  </si>
  <si>
    <t>Jugo de Luna</t>
  </si>
  <si>
    <t>La Reina del Sur</t>
  </si>
  <si>
    <t>JUNIIO 2021</t>
  </si>
  <si>
    <t>Extensión // Perú</t>
  </si>
  <si>
    <t>Riskmedia / Sergio</t>
  </si>
  <si>
    <t>Endemol Shine</t>
  </si>
  <si>
    <t>El Brazo Corto de la Ley</t>
  </si>
  <si>
    <t>DICIEMBRE 2021</t>
  </si>
  <si>
    <t xml:space="preserve">E&amp;O </t>
  </si>
  <si>
    <t>GMX</t>
  </si>
  <si>
    <t>Gato Studio</t>
  </si>
  <si>
    <t>RC General Anual</t>
  </si>
  <si>
    <t>DVEP-00012256</t>
  </si>
  <si>
    <t>ENERO</t>
  </si>
  <si>
    <t>RC Anual</t>
  </si>
  <si>
    <t>Sergio</t>
  </si>
  <si>
    <t>Allianz</t>
  </si>
  <si>
    <t xml:space="preserve">Sastre Films </t>
  </si>
  <si>
    <t xml:space="preserve">Chilangolandia </t>
  </si>
  <si>
    <t>NOVIEMBRE 2021</t>
  </si>
  <si>
    <t>Donde Quema el Sol</t>
  </si>
  <si>
    <t>At Midnight</t>
  </si>
  <si>
    <t>RC</t>
  </si>
  <si>
    <t>FEBRERO</t>
  </si>
  <si>
    <t>Redrum 7</t>
  </si>
  <si>
    <t>Hail Mary</t>
  </si>
  <si>
    <t>Filmpackage</t>
  </si>
  <si>
    <t>Razor Dreams</t>
  </si>
  <si>
    <t>Corazonada</t>
  </si>
  <si>
    <t xml:space="preserve">RC </t>
  </si>
  <si>
    <t>Viacom / HUB</t>
  </si>
  <si>
    <t>Visceral</t>
  </si>
  <si>
    <t>JNPA</t>
  </si>
  <si>
    <t>DVEP-12285</t>
  </si>
  <si>
    <t>Riesgos profesionales</t>
  </si>
  <si>
    <t>DVEP-12284</t>
  </si>
  <si>
    <t>Amazon / HUB</t>
  </si>
  <si>
    <t>SI (HUB)</t>
  </si>
  <si>
    <t xml:space="preserve">MARZO </t>
  </si>
  <si>
    <t>Sundown</t>
  </si>
  <si>
    <t>E&amp;O</t>
  </si>
  <si>
    <t>SI (SERGIO)</t>
  </si>
  <si>
    <t>AGOSTO</t>
  </si>
  <si>
    <t>Se agrega comisión por $76,728.48 de acuerdo con el excel de comisiones pagadas a Sergio Guzmán el 20.08.22</t>
  </si>
  <si>
    <t>HLM Uno Films</t>
  </si>
  <si>
    <t>Hasta la Madre con la Navidad</t>
  </si>
  <si>
    <t>DVEP-12388</t>
  </si>
  <si>
    <t>Amazon / Gallaguer</t>
  </si>
  <si>
    <t>SI (GALLAGUER)</t>
  </si>
  <si>
    <t>DVEP-12389</t>
  </si>
  <si>
    <t>TVG TVGROUP DIGITAL MEXICO</t>
  </si>
  <si>
    <t>Endoso RC Mi Encuentro Con El Mal</t>
  </si>
  <si>
    <t>RC General</t>
  </si>
  <si>
    <t>MAYO</t>
  </si>
  <si>
    <t xml:space="preserve">THR3 Media </t>
  </si>
  <si>
    <t>The Ninis</t>
  </si>
  <si>
    <t>Dynamo</t>
  </si>
  <si>
    <t>Riviera Maya</t>
  </si>
  <si>
    <t>DVEP-12450</t>
  </si>
  <si>
    <t>DVEP-12449</t>
  </si>
  <si>
    <t xml:space="preserve">TVG TVGROUP </t>
  </si>
  <si>
    <t>LUCHA E&amp;O</t>
  </si>
  <si>
    <t>Melena Producciones</t>
  </si>
  <si>
    <t>Tiempo + Tragedia + Comedia</t>
  </si>
  <si>
    <t>DVEP-12505</t>
  </si>
  <si>
    <t>Estudios México Films</t>
  </si>
  <si>
    <t>Tengo que Morir Todas las Noches</t>
  </si>
  <si>
    <t>DVEP-12562</t>
  </si>
  <si>
    <t>ABRIL</t>
  </si>
  <si>
    <t>DVEP-12563</t>
  </si>
  <si>
    <t>DVEP-12575</t>
  </si>
  <si>
    <t>Riesgos profesionales Enf</t>
  </si>
  <si>
    <t xml:space="preserve">PESAE FILMS </t>
  </si>
  <si>
    <t xml:space="preserve">Nunca Tuve Miedo </t>
  </si>
  <si>
    <t>Filmpackage // Grabaciones Perú</t>
  </si>
  <si>
    <t>*</t>
  </si>
  <si>
    <t>Argos</t>
  </si>
  <si>
    <t>Cualquier Parecido</t>
  </si>
  <si>
    <t>DVEP-12600</t>
  </si>
  <si>
    <t>Tolouse FIlms S de RL de CV</t>
  </si>
  <si>
    <t>Amor es Amor</t>
  </si>
  <si>
    <t>DVEP-12611</t>
  </si>
  <si>
    <t>DVEP-12624</t>
  </si>
  <si>
    <t>Producciones Ex content</t>
  </si>
  <si>
    <t>Ugly</t>
  </si>
  <si>
    <t>Univisión // Offa Entertainment</t>
  </si>
  <si>
    <t>La Noche del Diablito</t>
  </si>
  <si>
    <t>VIX / Gallaguer</t>
  </si>
  <si>
    <t>JUNIO</t>
  </si>
  <si>
    <t>Riviera Maya Dron</t>
  </si>
  <si>
    <t>AVHP-832</t>
  </si>
  <si>
    <t>RC Dron</t>
  </si>
  <si>
    <t xml:space="preserve">Allianz </t>
  </si>
  <si>
    <t>Universidad de Guadalajara</t>
  </si>
  <si>
    <t>Pinocchio</t>
  </si>
  <si>
    <t>007453</t>
  </si>
  <si>
    <t>AVHP-833</t>
  </si>
  <si>
    <t>Altius Citus</t>
  </si>
  <si>
    <t>No es Para Toda la Familia</t>
  </si>
  <si>
    <t>007491</t>
  </si>
  <si>
    <t>DVEP-12701</t>
  </si>
  <si>
    <t xml:space="preserve">Univisión // Azul Dalmata </t>
  </si>
  <si>
    <t>Pinches Momias</t>
  </si>
  <si>
    <t>Hasta la Madre con el día de las Madres</t>
  </si>
  <si>
    <t>DVEP-12712</t>
  </si>
  <si>
    <t>DVEP-12713</t>
  </si>
  <si>
    <t>ARTEGTV</t>
  </si>
  <si>
    <t>Sangre Sudor y Gloria</t>
  </si>
  <si>
    <t>Univision // Azul Dalmata</t>
  </si>
  <si>
    <t>RC AUTOS</t>
  </si>
  <si>
    <t>Win Technologies</t>
  </si>
  <si>
    <t>CHUBB</t>
  </si>
  <si>
    <t>AVHP-836</t>
  </si>
  <si>
    <t>JULIO</t>
  </si>
  <si>
    <t>Property</t>
  </si>
  <si>
    <t>Todo Riesgo</t>
  </si>
  <si>
    <t>11 Series SA de CV</t>
  </si>
  <si>
    <t>Uno Para Morir</t>
  </si>
  <si>
    <t>DVEP-12780</t>
  </si>
  <si>
    <t>DVEP-12781</t>
  </si>
  <si>
    <t>LA DOBLE</t>
  </si>
  <si>
    <t>EMPRESARIAL</t>
  </si>
  <si>
    <t>005161</t>
  </si>
  <si>
    <t xml:space="preserve">Mango Operaciones </t>
  </si>
  <si>
    <t xml:space="preserve">Riskmedia </t>
  </si>
  <si>
    <t>Moviemex</t>
  </si>
  <si>
    <t xml:space="preserve">Las Pelotaris </t>
  </si>
  <si>
    <t>RC // Riesgos profesionales</t>
  </si>
  <si>
    <t xml:space="preserve">ALTIUS CITUS </t>
  </si>
  <si>
    <t xml:space="preserve">CASI FAMOSO </t>
  </si>
  <si>
    <t>007811</t>
  </si>
  <si>
    <t xml:space="preserve">Estudios Telemexico </t>
  </si>
  <si>
    <t>Socorro</t>
  </si>
  <si>
    <t>DVEP-12816</t>
  </si>
  <si>
    <t>DVEP-12842</t>
  </si>
  <si>
    <t>MCM Films</t>
  </si>
  <si>
    <t>Viva La Comedy</t>
  </si>
  <si>
    <t>799901</t>
  </si>
  <si>
    <t xml:space="preserve">SI (GALLAGUER) </t>
  </si>
  <si>
    <t>SEPTIEMBRE</t>
  </si>
  <si>
    <t>TVG TVGROUP</t>
  </si>
  <si>
    <t>Travesuras de una Niña Mala</t>
  </si>
  <si>
    <t>008031</t>
  </si>
  <si>
    <t xml:space="preserve">Media Pro </t>
  </si>
  <si>
    <t>Cecilia</t>
  </si>
  <si>
    <t>DVEP-12892</t>
  </si>
  <si>
    <t>DVEP-12894</t>
  </si>
  <si>
    <t>El Colapso</t>
  </si>
  <si>
    <t>008012</t>
  </si>
  <si>
    <t>TL Studio</t>
  </si>
  <si>
    <t>15 a la Hora</t>
  </si>
  <si>
    <t>DVEP-12925</t>
  </si>
  <si>
    <t>DVEP-12924</t>
  </si>
  <si>
    <t>Putas Redes Sociales</t>
  </si>
  <si>
    <t>DVEP-12923</t>
  </si>
  <si>
    <t>DVEP-12922</t>
  </si>
  <si>
    <t>DISRUPTIVA FILMS</t>
  </si>
  <si>
    <t>HUESERA</t>
  </si>
  <si>
    <t>810301</t>
  </si>
  <si>
    <t>Producciones Cinematograficas del Sur</t>
  </si>
  <si>
    <t>Pinches Comediantes</t>
  </si>
  <si>
    <t>008259</t>
  </si>
  <si>
    <t xml:space="preserve">Non Stop Studios </t>
  </si>
  <si>
    <t xml:space="preserve">Audiovisuales Media Pro </t>
  </si>
  <si>
    <t>Property (Recibo 1)</t>
  </si>
  <si>
    <t>La otra noche</t>
  </si>
  <si>
    <t>La Otra Noche</t>
  </si>
  <si>
    <t>008503</t>
  </si>
  <si>
    <t xml:space="preserve">Univisión / Pleptora Productions </t>
  </si>
  <si>
    <t>Mujeres Asesinas</t>
  </si>
  <si>
    <t>854801</t>
  </si>
  <si>
    <t>854901</t>
  </si>
  <si>
    <t>DVEP-12461</t>
  </si>
  <si>
    <t>Riesgos profesionales Acc</t>
  </si>
  <si>
    <t>RXJ004120000</t>
  </si>
  <si>
    <t>AXA</t>
  </si>
  <si>
    <t>SI (INTERPROTECCIÓN)</t>
  </si>
  <si>
    <t>Property (Recibo 2)</t>
  </si>
  <si>
    <t>OCTUBRE</t>
  </si>
  <si>
    <t>Tis Productions</t>
  </si>
  <si>
    <t>El Capo 5</t>
  </si>
  <si>
    <t>DVEP-13318</t>
  </si>
  <si>
    <t>Riesgos Profesionales</t>
  </si>
  <si>
    <t xml:space="preserve">TRZ Servicios Producción </t>
  </si>
  <si>
    <t>Cinco Tangos y Una Ranchera</t>
  </si>
  <si>
    <t>2E748028</t>
  </si>
  <si>
    <t>NOVIEMBRE</t>
  </si>
  <si>
    <t>Servicios de Produccion Reforma SA de CV</t>
  </si>
  <si>
    <t>El Señor de los Cielos Temp 8</t>
  </si>
  <si>
    <t>*009650</t>
  </si>
  <si>
    <t>23/11/22</t>
  </si>
  <si>
    <t>53124CD3</t>
  </si>
  <si>
    <t>DICIEMBRE</t>
  </si>
  <si>
    <t>Agencia Bengala</t>
  </si>
  <si>
    <t>El Comediante</t>
  </si>
  <si>
    <t>007580</t>
  </si>
  <si>
    <t>01/01/22</t>
  </si>
  <si>
    <t>Indice de Materiales</t>
  </si>
  <si>
    <t>Red Privada</t>
  </si>
  <si>
    <t>007663</t>
  </si>
  <si>
    <t>After Life Group</t>
  </si>
  <si>
    <t>Una Navidad no Tan Padre</t>
  </si>
  <si>
    <t>007544</t>
  </si>
  <si>
    <t>Taller de Cine SC</t>
  </si>
  <si>
    <t>Mejor Mañana, Hablemos Hoy</t>
  </si>
  <si>
    <t>008527</t>
  </si>
  <si>
    <t>01/08/22</t>
  </si>
  <si>
    <t>Nadia Bastarrachea</t>
  </si>
  <si>
    <t>LOVELY</t>
  </si>
  <si>
    <t>009046</t>
  </si>
  <si>
    <t>02/09/22</t>
  </si>
  <si>
    <t>MTV Prankeados</t>
  </si>
  <si>
    <t>008582</t>
  </si>
  <si>
    <t>03/08/22</t>
  </si>
  <si>
    <t>Bouzher Films</t>
  </si>
  <si>
    <t>The Bachelor Japon</t>
  </si>
  <si>
    <t>DVEP-13319</t>
  </si>
  <si>
    <t>03/10/22</t>
  </si>
  <si>
    <t>Lemon Films</t>
  </si>
  <si>
    <t>Dating Santa</t>
  </si>
  <si>
    <t>DVEP-13321</t>
  </si>
  <si>
    <t>DVEP-13320</t>
  </si>
  <si>
    <t>Ale Marín</t>
  </si>
  <si>
    <t>009130</t>
  </si>
  <si>
    <t>04/10//22</t>
  </si>
  <si>
    <t xml:space="preserve">NO </t>
  </si>
  <si>
    <t>D98B46D6</t>
  </si>
  <si>
    <t>DVEP-1766</t>
  </si>
  <si>
    <t>04/10/22</t>
  </si>
  <si>
    <t>DVEP-13328</t>
  </si>
  <si>
    <t>008739</t>
  </si>
  <si>
    <t>05/08/22</t>
  </si>
  <si>
    <t>A97021FB</t>
  </si>
  <si>
    <t>008749</t>
  </si>
  <si>
    <t>Autoliability RC</t>
  </si>
  <si>
    <t>007888</t>
  </si>
  <si>
    <t>07/06/22</t>
  </si>
  <si>
    <t>WOO 2 SAPI DE CV</t>
  </si>
  <si>
    <t>Las Viudad de los Jueves</t>
  </si>
  <si>
    <t>008346</t>
  </si>
  <si>
    <t>08/08/22</t>
  </si>
  <si>
    <t xml:space="preserve">Berkley </t>
  </si>
  <si>
    <t>788801</t>
  </si>
  <si>
    <t>09/10/22</t>
  </si>
  <si>
    <t>Filmpackage / Endoso Ampliación de Vigencia</t>
  </si>
  <si>
    <t>Redrum 17 SA de CV</t>
  </si>
  <si>
    <t>A Million Miles Away</t>
  </si>
  <si>
    <t>DVEP-1745</t>
  </si>
  <si>
    <t>10/08/22</t>
  </si>
  <si>
    <t>DVEP-13111</t>
  </si>
  <si>
    <t xml:space="preserve">Riesgos Profesionales </t>
  </si>
  <si>
    <t>BANIJAY</t>
  </si>
  <si>
    <t>LOL MÉXICO TEMP 5</t>
  </si>
  <si>
    <t>DVEP-13012</t>
  </si>
  <si>
    <t>12/07/22</t>
  </si>
  <si>
    <t>DVEP-13013</t>
  </si>
  <si>
    <t>LOL ARGENTINA S1</t>
  </si>
  <si>
    <t>DVEP-13015</t>
  </si>
  <si>
    <t>DVEP-13014</t>
  </si>
  <si>
    <t>LOL COLOMBIA S1</t>
  </si>
  <si>
    <t>DVEP-13016</t>
  </si>
  <si>
    <t>DVEP-13017</t>
  </si>
  <si>
    <t>Visceral SPV3</t>
  </si>
  <si>
    <t>De Viaje Con Los Derbez</t>
  </si>
  <si>
    <t>DVEP-13023</t>
  </si>
  <si>
    <t>DVEP-13022</t>
  </si>
  <si>
    <t>Fabula Contenidos</t>
  </si>
  <si>
    <t>Srita 89</t>
  </si>
  <si>
    <t>009045</t>
  </si>
  <si>
    <t>13/09/22</t>
  </si>
  <si>
    <t>Muertos</t>
  </si>
  <si>
    <t>DVEP-13259</t>
  </si>
  <si>
    <t>14/09/22</t>
  </si>
  <si>
    <t>FIRE</t>
  </si>
  <si>
    <t>008767</t>
  </si>
  <si>
    <t>15/08/22</t>
  </si>
  <si>
    <t xml:space="preserve">EL GUAU CON G </t>
  </si>
  <si>
    <t>EL GUAU</t>
  </si>
  <si>
    <t>901701</t>
  </si>
  <si>
    <t>15/09/22</t>
  </si>
  <si>
    <t xml:space="preserve">Arte Mecanica </t>
  </si>
  <si>
    <t>Real House Wife</t>
  </si>
  <si>
    <t>18105 30275032</t>
  </si>
  <si>
    <t>18/09/22</t>
  </si>
  <si>
    <t>Inbursa</t>
  </si>
  <si>
    <t>INBURSA</t>
  </si>
  <si>
    <t>KRAMER</t>
  </si>
  <si>
    <t>CIELO ABIERTO</t>
  </si>
  <si>
    <t>902201</t>
  </si>
  <si>
    <t>19/09/22</t>
  </si>
  <si>
    <t>DVEP-13270</t>
  </si>
  <si>
    <t>20/09/22</t>
  </si>
  <si>
    <t>Pequeño Gran Juurado</t>
  </si>
  <si>
    <t>008996</t>
  </si>
  <si>
    <t>22/09/22</t>
  </si>
  <si>
    <t xml:space="preserve">Curadores de Ideas </t>
  </si>
  <si>
    <t>Sofina Niño de Rivera</t>
  </si>
  <si>
    <t>18105 30275489</t>
  </si>
  <si>
    <t>Fotosintesis SAPI de CV</t>
  </si>
  <si>
    <t>Mi Amigo El Sol</t>
  </si>
  <si>
    <t>004951</t>
  </si>
  <si>
    <t>28/06/22</t>
  </si>
  <si>
    <t>009084</t>
  </si>
  <si>
    <t>29/09/22</t>
  </si>
  <si>
    <t>-</t>
  </si>
  <si>
    <t>1B60E5F0</t>
  </si>
  <si>
    <t>ROAD TRIP ESCORPION DORADO</t>
  </si>
  <si>
    <t>DVEP-13434</t>
  </si>
  <si>
    <t>27/10/2022</t>
  </si>
  <si>
    <t>NO PAGADA</t>
  </si>
  <si>
    <t>DVEP-13433</t>
  </si>
  <si>
    <t xml:space="preserve">GB Contenidos </t>
  </si>
  <si>
    <t>Sueltos en Cabos</t>
  </si>
  <si>
    <t>DVEP-00013510</t>
  </si>
  <si>
    <t>DVEP-00013511</t>
  </si>
  <si>
    <t>Tucho Producciones</t>
  </si>
  <si>
    <t>STANLEY</t>
  </si>
  <si>
    <t>DVEP-00013538</t>
  </si>
  <si>
    <t>DVEP-00013539</t>
  </si>
  <si>
    <t xml:space="preserve">MINERVA CONSULTING </t>
  </si>
  <si>
    <t>RC GENERAL ANUAL</t>
  </si>
  <si>
    <t>L2 42000470</t>
  </si>
  <si>
    <t>31/|0/2022</t>
  </si>
  <si>
    <t>Lo que Algunos Soñaron</t>
  </si>
  <si>
    <t>Pet Shop Boys</t>
  </si>
  <si>
    <t>*009256</t>
  </si>
  <si>
    <t xml:space="preserve">Mil Millones Cine </t>
  </si>
  <si>
    <t xml:space="preserve">Tus Dos Muertos </t>
  </si>
  <si>
    <t>18105 30276308</t>
  </si>
  <si>
    <t>Fire 2</t>
  </si>
  <si>
    <t>*009237</t>
  </si>
  <si>
    <t>7DF46B6B</t>
  </si>
  <si>
    <t>*009344</t>
  </si>
  <si>
    <t xml:space="preserve">VISCERAL SPV2 </t>
  </si>
  <si>
    <t>La Noche del Diablito 2</t>
  </si>
  <si>
    <t>*009724</t>
  </si>
  <si>
    <t>25F5013F</t>
  </si>
  <si>
    <t>Harina S2</t>
  </si>
  <si>
    <t>DVEP-00013604</t>
  </si>
  <si>
    <t>DVEP-00013607</t>
  </si>
  <si>
    <t>Total</t>
  </si>
  <si>
    <t xml:space="preserve">COMIISION TOTAL  NETA INGRESADA </t>
  </si>
  <si>
    <t>COMISIÓN TOTAL</t>
  </si>
  <si>
    <t xml:space="preserve">COMISION PARTNER </t>
  </si>
  <si>
    <t>IVA 16%</t>
  </si>
  <si>
    <t>TOTAL RECIBIDO</t>
  </si>
  <si>
    <t>CONTRATANTE</t>
  </si>
  <si>
    <t>PRODUCCION</t>
  </si>
  <si>
    <t>PAQUETE (PROGRAMA VIX, DISNEY, AMAZON, PARAMOUNT)</t>
  </si>
  <si>
    <t>COMISION PARTNER</t>
  </si>
  <si>
    <t>FECHA DE PAGO COMISION</t>
  </si>
  <si>
    <t xml:space="preserve">No DE FACTURA </t>
  </si>
  <si>
    <t>Dynamo Contenidos</t>
  </si>
  <si>
    <t>Reshoot Riviera Maya</t>
  </si>
  <si>
    <t>DVEP/00013628</t>
  </si>
  <si>
    <t>Gato Estudio</t>
  </si>
  <si>
    <t>Riesgos Profesionales Anual</t>
  </si>
  <si>
    <t>DVEP/00013650</t>
  </si>
  <si>
    <t>DVEP/00013649</t>
  </si>
  <si>
    <t>VOD ACQUISITION CO, LLC</t>
  </si>
  <si>
    <t>HERO DEVUELVEME MI VIDA</t>
  </si>
  <si>
    <t>Quiero Tu Vida</t>
  </si>
  <si>
    <t>0972301</t>
  </si>
  <si>
    <t>30/11/2022</t>
  </si>
  <si>
    <t>DICIEMBRE 2022</t>
  </si>
  <si>
    <t>VISCERAL SPV3</t>
  </si>
  <si>
    <t>La Noche del Diablito T2</t>
  </si>
  <si>
    <t>0972401</t>
  </si>
  <si>
    <t>Contagious Media</t>
  </si>
  <si>
    <t>Mi Maestra se Comio a mi Amigo</t>
  </si>
  <si>
    <t>0990901</t>
  </si>
  <si>
    <t>20/12/2022</t>
  </si>
  <si>
    <t>LEMON NF SA DE CV</t>
  </si>
  <si>
    <t>La loca de los Perros</t>
  </si>
  <si>
    <t>0990701</t>
  </si>
  <si>
    <t xml:space="preserve">TVG TVGROUP  </t>
  </si>
  <si>
    <t>0979701</t>
  </si>
  <si>
    <t>07/12/2022</t>
  </si>
  <si>
    <t>Portamerica</t>
  </si>
  <si>
    <t>RC Por Evento</t>
  </si>
  <si>
    <t>0966801</t>
  </si>
  <si>
    <t>25/11/2022</t>
  </si>
  <si>
    <t>RC Por evento</t>
  </si>
  <si>
    <t>Break The Format LLC</t>
  </si>
  <si>
    <t>Pacto de Sangre</t>
  </si>
  <si>
    <t>0974901</t>
  </si>
  <si>
    <t>Programa VIX</t>
  </si>
  <si>
    <t>Paloma Negra Films</t>
  </si>
  <si>
    <t>Zafari</t>
  </si>
  <si>
    <t>0990801</t>
  </si>
  <si>
    <t>F9B8DD29</t>
  </si>
  <si>
    <t>Zafari Ext Grab Perú</t>
  </si>
  <si>
    <t>0B955E8B</t>
  </si>
  <si>
    <t xml:space="preserve">Horizonte Films </t>
  </si>
  <si>
    <t>Club Perfecto</t>
  </si>
  <si>
    <t>AAD852E4</t>
  </si>
  <si>
    <t>Estela de Sombra</t>
  </si>
  <si>
    <t>6444D2F5</t>
  </si>
  <si>
    <t xml:space="preserve">Cortes Finos Post </t>
  </si>
  <si>
    <t>Encontro lo que Buscaba</t>
  </si>
  <si>
    <t>6899229A</t>
  </si>
  <si>
    <t>MIRACOL MEXICO SA DE CV</t>
  </si>
  <si>
    <t>MIRACOL MEXICO</t>
  </si>
  <si>
    <t>Travesuras de una Niña Mala T2</t>
  </si>
  <si>
    <t xml:space="preserve">PIREXIA </t>
  </si>
  <si>
    <t>MALVADA</t>
  </si>
  <si>
    <t>DONDE QUEMA EL SOL</t>
  </si>
  <si>
    <t>14 Lunas</t>
  </si>
  <si>
    <t>TRZ STUDIOS</t>
  </si>
  <si>
    <t>Cada Minuto Cuenta</t>
  </si>
  <si>
    <t>DVEP/00013651</t>
  </si>
  <si>
    <t>PENDIENTE ALLIANZ</t>
  </si>
  <si>
    <t>DVEP/00013652</t>
  </si>
  <si>
    <t>BEDE5210</t>
  </si>
  <si>
    <t>VISCERAL SPV 3</t>
  </si>
  <si>
    <t>De Viaje Con Los Derbez S4</t>
  </si>
  <si>
    <t>E85ABF5A</t>
  </si>
  <si>
    <t xml:space="preserve">VISCERAL S DE RL DE CV </t>
  </si>
  <si>
    <t>9CE3AA89</t>
  </si>
  <si>
    <t xml:space="preserve">MJR Servicios Producción </t>
  </si>
  <si>
    <t>Golden Rule</t>
  </si>
  <si>
    <t>DVEP/00013799</t>
  </si>
  <si>
    <t>DVEP/00013798</t>
  </si>
  <si>
    <t>11 11 Series</t>
  </si>
  <si>
    <t>11 11 Studios</t>
  </si>
  <si>
    <t>BRAVAS T2</t>
  </si>
  <si>
    <t>B050F283</t>
  </si>
  <si>
    <t>ATENEA MEDIA</t>
  </si>
  <si>
    <t>La Lola</t>
  </si>
  <si>
    <t>Nadie Nos Va a Extrañar</t>
  </si>
  <si>
    <t>Nadie Nos va  a Extrañar</t>
  </si>
  <si>
    <t>DVEP-13796</t>
  </si>
  <si>
    <t>DVEP-13797</t>
  </si>
  <si>
    <t>NI IDEA ENTRETENIMIENTO</t>
  </si>
  <si>
    <t>Aca Entre Nos</t>
  </si>
  <si>
    <t>Beanca Films</t>
  </si>
  <si>
    <t>Las Mutaciones</t>
  </si>
  <si>
    <t>Comunicación Tecnologica</t>
  </si>
  <si>
    <t>Gastos Médicos Colaborador</t>
  </si>
  <si>
    <t>2882300005630/0</t>
  </si>
  <si>
    <t xml:space="preserve">GMM Colaborador </t>
  </si>
  <si>
    <t>Mapfre</t>
  </si>
  <si>
    <t>MAPFRE</t>
  </si>
  <si>
    <t xml:space="preserve">Romeu </t>
  </si>
  <si>
    <t>RC Maritima (2022) Recibo 1</t>
  </si>
  <si>
    <t>MARN/1553</t>
  </si>
  <si>
    <t>Whats Up Mamis</t>
  </si>
  <si>
    <t>DVEP/00013904</t>
  </si>
  <si>
    <t>01/041/2023</t>
  </si>
  <si>
    <t>DVEP/00013899</t>
  </si>
  <si>
    <t>Argos Televisión</t>
  </si>
  <si>
    <t>Casa Meraki</t>
  </si>
  <si>
    <t>C022C734</t>
  </si>
  <si>
    <t>F78B0FC3</t>
  </si>
  <si>
    <t>EA911292</t>
  </si>
  <si>
    <t>El Sabor de la Navidad</t>
  </si>
  <si>
    <t xml:space="preserve">Film Tank </t>
  </si>
  <si>
    <t xml:space="preserve">Casi el Paraiso </t>
  </si>
  <si>
    <t>CBECFA41</t>
  </si>
  <si>
    <t>FABULA PROYECTOS</t>
  </si>
  <si>
    <t>Endoso Ampliación de Cobertura</t>
  </si>
  <si>
    <t>AGC NEWTRAL</t>
  </si>
  <si>
    <t>RC Maritima (2022)</t>
  </si>
  <si>
    <t>MARN/1557</t>
  </si>
  <si>
    <t>TRAZIENDE</t>
  </si>
  <si>
    <t>TRZ SERVICIOS, S.A. DE C.V.</t>
  </si>
  <si>
    <t>JUMPSTART MY HEART</t>
  </si>
  <si>
    <t>DVEP/00013867</t>
  </si>
  <si>
    <t>DVEP/00013868</t>
  </si>
  <si>
    <t>Extensión de Vigencia PGJ</t>
  </si>
  <si>
    <t>0899601</t>
  </si>
  <si>
    <t>988F5A5E</t>
  </si>
  <si>
    <t>ROCKETMAN</t>
  </si>
  <si>
    <t>TELEVISA PRODUCCIONES</t>
  </si>
  <si>
    <t>Pedro Infante</t>
  </si>
  <si>
    <t>0B847504</t>
  </si>
  <si>
    <t>Televisa Producciones</t>
  </si>
  <si>
    <t>El Gallo de Oro</t>
  </si>
  <si>
    <t>25B144CD</t>
  </si>
  <si>
    <t>Guirnalda Films</t>
  </si>
  <si>
    <t>Guardespaldas</t>
  </si>
  <si>
    <t xml:space="preserve">JOSE XAVIER VELASCO </t>
  </si>
  <si>
    <t>Cocodrilos</t>
  </si>
  <si>
    <t xml:space="preserve">Sergio </t>
  </si>
  <si>
    <t>Banijay México and Us Hispanic</t>
  </si>
  <si>
    <t>LOL MEXICO T6 Y T7</t>
  </si>
  <si>
    <t>DVED/00001828</t>
  </si>
  <si>
    <t>DVEP/00013925</t>
  </si>
  <si>
    <t xml:space="preserve">Tolouse Films </t>
  </si>
  <si>
    <t>Extensión de Vigencia (Amor es Amor)</t>
  </si>
  <si>
    <t>DVEP/00013893</t>
  </si>
  <si>
    <t>GB Contenidos</t>
  </si>
  <si>
    <t>Sueltos en Cabos (escenas extras)</t>
  </si>
  <si>
    <t>DVEP/00013927</t>
  </si>
  <si>
    <t>Audiovisuales Media Pro Mexico</t>
  </si>
  <si>
    <t>Escenas Consuelo en México</t>
  </si>
  <si>
    <t>DVEP/00013944</t>
  </si>
  <si>
    <t xml:space="preserve">LA DOBLE </t>
  </si>
  <si>
    <t xml:space="preserve">Seguro Empresarial </t>
  </si>
  <si>
    <t>DAC88B65</t>
  </si>
  <si>
    <t>Televideo SAS</t>
  </si>
  <si>
    <t>CONSUELO T1</t>
  </si>
  <si>
    <t>7D9B86EB</t>
  </si>
  <si>
    <t>CONSUELO T2</t>
  </si>
  <si>
    <t xml:space="preserve">TRZ SERVICIOS </t>
  </si>
  <si>
    <t>Contigo en el Futuro</t>
  </si>
  <si>
    <t>DVEP/00014057</t>
  </si>
  <si>
    <t>DVEP/00014058</t>
  </si>
  <si>
    <t>CINEMA IT</t>
  </si>
  <si>
    <t>Que Chica es el Mundo</t>
  </si>
  <si>
    <t>13E096F5</t>
  </si>
  <si>
    <t>ABERRACIÓN GLOBAL</t>
  </si>
  <si>
    <t>El Diario</t>
  </si>
  <si>
    <t>DVEP/00014078</t>
  </si>
  <si>
    <t>DVEP/00014081</t>
  </si>
  <si>
    <t>Film Divers</t>
  </si>
  <si>
    <t xml:space="preserve">Amores Incompletos </t>
  </si>
  <si>
    <t>5F16CB81</t>
  </si>
  <si>
    <t>RC Maritima (2022) Recibo 2</t>
  </si>
  <si>
    <t>RC Maritima (2023) Recibo 1</t>
  </si>
  <si>
    <t>MARN/1591</t>
  </si>
  <si>
    <t>Cimarron</t>
  </si>
  <si>
    <t xml:space="preserve">Cometierra </t>
  </si>
  <si>
    <t>DVEP/00014127</t>
  </si>
  <si>
    <t>DVEP/00014128</t>
  </si>
  <si>
    <t>WHISKEY</t>
  </si>
  <si>
    <t>PÓLIZA COMERCIALES</t>
  </si>
  <si>
    <t>Comerciales</t>
  </si>
  <si>
    <t>7472DD72</t>
  </si>
  <si>
    <t>INDICE DE MATERIALES</t>
  </si>
  <si>
    <t>Familia Feliz</t>
  </si>
  <si>
    <t>18105 30278495</t>
  </si>
  <si>
    <t>Sergio / Riskmedia</t>
  </si>
  <si>
    <t xml:space="preserve">Producciones Ex Content </t>
  </si>
  <si>
    <t>La Liberacion</t>
  </si>
  <si>
    <t>DVEP/00014187</t>
  </si>
  <si>
    <t>DVEP/00014186</t>
  </si>
  <si>
    <t>Fabula Televisión</t>
  </si>
  <si>
    <t>Familia de Media Noche</t>
  </si>
  <si>
    <t>49D5E17E</t>
  </si>
  <si>
    <t>Guerita (Piloto) Endoso RC</t>
  </si>
  <si>
    <t>AE850DCD</t>
  </si>
  <si>
    <t>Guerita (Piloto)</t>
  </si>
  <si>
    <t xml:space="preserve">TH3 MEDIA GROUP </t>
  </si>
  <si>
    <t>Sin Querer Queriendo</t>
  </si>
  <si>
    <t>18105 30281301</t>
  </si>
  <si>
    <t>White Owl Studio</t>
  </si>
  <si>
    <t>E&amp;O WHITE OWL</t>
  </si>
  <si>
    <t>Consuelo T2</t>
  </si>
  <si>
    <t>DVEP/00014212</t>
  </si>
  <si>
    <t>Filmación</t>
  </si>
  <si>
    <t>Filmación y E&amp;O (Comision Faltante)</t>
  </si>
  <si>
    <t>Cometierra 2do parte del presupuesto</t>
  </si>
  <si>
    <t>A0001/6</t>
  </si>
  <si>
    <t>LatinxSeries</t>
  </si>
  <si>
    <t>Septiembre</t>
  </si>
  <si>
    <t>D2932AD4</t>
  </si>
  <si>
    <t>Latinx Series</t>
  </si>
  <si>
    <t>MARN/1590</t>
  </si>
  <si>
    <t>Dos Lados</t>
  </si>
  <si>
    <t>|</t>
  </si>
  <si>
    <t>0DEE8356</t>
  </si>
  <si>
    <t>Servicios de Produccion Reforma</t>
  </si>
  <si>
    <t>Accidentes Personales SDLC8</t>
  </si>
  <si>
    <t>Accidentes Personales</t>
  </si>
  <si>
    <t>SURA</t>
  </si>
  <si>
    <t>La Liberación (Póliza AP)</t>
  </si>
  <si>
    <t>Accidentes Personales y Ala Azul</t>
  </si>
  <si>
    <t>La Liberación (Póliza Ala Azul) RENOVACION</t>
  </si>
  <si>
    <t>Ala Azul Renovación</t>
  </si>
  <si>
    <t>Panorama</t>
  </si>
  <si>
    <t>Mentiras</t>
  </si>
  <si>
    <t>En espera Marzo 2023</t>
  </si>
  <si>
    <t xml:space="preserve">ARTEGIOS </t>
  </si>
  <si>
    <t>La Narcosatanica</t>
  </si>
  <si>
    <t>BB77DB64</t>
  </si>
  <si>
    <t>Tigre Pictures</t>
  </si>
  <si>
    <t>Prefiero la Muerte</t>
  </si>
  <si>
    <t>Un Buen Divorcio</t>
  </si>
  <si>
    <t xml:space="preserve">Filmacion Un día </t>
  </si>
  <si>
    <t>El Extraño Retorno de Diana Salazar</t>
  </si>
  <si>
    <t>Juegos Interrumpidos</t>
  </si>
  <si>
    <t>Vanquish Media</t>
  </si>
  <si>
    <t>Mazatlan Shore T1</t>
  </si>
  <si>
    <t>DVED/00001899</t>
  </si>
  <si>
    <t>Paramount // HUB</t>
  </si>
  <si>
    <t>DVEP/00014454</t>
  </si>
  <si>
    <t>SU DOSIS FILMS S DE RL DE CV</t>
  </si>
  <si>
    <t>Vasilly</t>
  </si>
  <si>
    <t>18105 30282649</t>
  </si>
  <si>
    <t>Mercurio Fab Proyectos</t>
  </si>
  <si>
    <t>El Dentista</t>
  </si>
  <si>
    <t>Terricola Films</t>
  </si>
  <si>
    <t>Líneas de Falla</t>
  </si>
  <si>
    <t>18105 30282694</t>
  </si>
  <si>
    <t xml:space="preserve">Filmacion </t>
  </si>
  <si>
    <t>Una Sencilla Familia</t>
  </si>
  <si>
    <t>Temptation Island HUB</t>
  </si>
  <si>
    <t>Filmpackage  HUB and México</t>
  </si>
  <si>
    <t>Filmpackage  Arg - Brasil in México</t>
  </si>
  <si>
    <t>Orillese a la Orilla</t>
  </si>
  <si>
    <t>Folow Film</t>
  </si>
  <si>
    <t>FOLLOW</t>
  </si>
  <si>
    <t>Lucha de Antojos</t>
  </si>
  <si>
    <t>Alba Films</t>
  </si>
  <si>
    <t>Abracadaver</t>
  </si>
  <si>
    <t>TVG TVGROUP DIGITAL</t>
  </si>
  <si>
    <t>Póliza Todo Riesgo (México)</t>
  </si>
  <si>
    <t>Chubb</t>
  </si>
  <si>
    <t>Bubble Zombies Films</t>
  </si>
  <si>
    <t>Bienvenidos a la Familia</t>
  </si>
  <si>
    <t>Riksmedia // Atencion</t>
  </si>
  <si>
    <t>SI (ATENCION)</t>
  </si>
  <si>
    <t>TL STUDIO</t>
  </si>
  <si>
    <t>Santa Garnacha</t>
  </si>
  <si>
    <t xml:space="preserve">Woo 4 </t>
  </si>
  <si>
    <t>Los dos Hemisferios de Lucca</t>
  </si>
  <si>
    <t>MINERVA CONSULTING</t>
  </si>
  <si>
    <t>RC  General 2023</t>
  </si>
  <si>
    <t>Extensión Filmación Amor es Amor</t>
  </si>
  <si>
    <t xml:space="preserve">Ayotzinapa </t>
  </si>
  <si>
    <t>Servicios y Productos Culturales</t>
  </si>
  <si>
    <t>Toda una Vida</t>
  </si>
  <si>
    <t>Endoso comisión faltante</t>
  </si>
  <si>
    <t>Futuro Desierto</t>
  </si>
  <si>
    <t>RC Maritima (2023) Recibo 2</t>
  </si>
  <si>
    <t>RC Marítima</t>
  </si>
  <si>
    <t>Grupo Romeu</t>
  </si>
  <si>
    <t>Felino Producciones</t>
  </si>
  <si>
    <t>Monstruos de Ecatepec</t>
  </si>
  <si>
    <t xml:space="preserve">Alazraki Entertainment </t>
  </si>
  <si>
    <t>I Want to Believe</t>
  </si>
  <si>
    <t>Mercedes Sprinter 2971</t>
  </si>
  <si>
    <t xml:space="preserve">Auto Individual </t>
  </si>
  <si>
    <t>Mercedes Sprinter 6701</t>
  </si>
  <si>
    <t>Mercedes Sprinter 5547</t>
  </si>
  <si>
    <t>Mercedes Sprinter 6318</t>
  </si>
  <si>
    <t>Septiembre (Extension de Vigencia)</t>
  </si>
  <si>
    <t>Cada Minuto Cuenta Extensión de Vigencia</t>
  </si>
  <si>
    <t>TVG TVGroup</t>
  </si>
  <si>
    <t>Extension de vigencia Ayotzinapa</t>
  </si>
  <si>
    <t>TOTAL NETO RECIBIDO</t>
  </si>
  <si>
    <t>RENOVACIONES Y COBRANZA 2024</t>
  </si>
  <si>
    <t>ESTATUS</t>
  </si>
  <si>
    <t>MEDIA PRO QUALITAS ACURA</t>
  </si>
  <si>
    <t>RENOVADA Y PAGADA</t>
  </si>
  <si>
    <t>MEDIA PRO QUALITAS CONSTELLATION</t>
  </si>
  <si>
    <t>MEDIA PRO QUALITAS DELIVERY</t>
  </si>
  <si>
    <t xml:space="preserve">MEDIA PRO SPRINTER </t>
  </si>
  <si>
    <r>
      <rPr>
        <sz val="11"/>
        <color theme="9" tint="-0.249977111117893"/>
        <rFont val="Calibri"/>
        <family val="2"/>
        <scheme val="minor"/>
      </rPr>
      <t>ABRIL</t>
    </r>
    <r>
      <rPr>
        <sz val="11"/>
        <color theme="1"/>
        <rFont val="Calibri"/>
        <family val="2"/>
        <scheme val="minor"/>
      </rPr>
      <t xml:space="preserve"> Y </t>
    </r>
    <r>
      <rPr>
        <sz val="11"/>
        <color rgb="FFFF0000"/>
        <rFont val="Calibri"/>
        <family val="2"/>
        <scheme val="minor"/>
      </rPr>
      <t>OCTUBRE</t>
    </r>
  </si>
  <si>
    <t>GMM DIANA</t>
  </si>
  <si>
    <t>GMM YAZMIN</t>
  </si>
  <si>
    <t>TODO RIESGO RISKMEDIA</t>
  </si>
  <si>
    <t xml:space="preserve">E&amp;O RISKMEDIA </t>
  </si>
  <si>
    <t>RENOVAR EN OCTUBRE</t>
  </si>
  <si>
    <t>MEDIA PRO TODO RIESGO OPERATIVO</t>
  </si>
  <si>
    <t>MEDIA PRO RC</t>
  </si>
  <si>
    <t>TVG RC ANUAL</t>
  </si>
  <si>
    <t>TVG TODO RIESGO OPERATIVO</t>
  </si>
  <si>
    <t>COMUNICACIÓN TECNOLOGICA GMM 1</t>
  </si>
  <si>
    <t>COMUNICACIÓN TECNOLOGICA GMM 2</t>
  </si>
  <si>
    <t>MEDIA PRO GMM JESUS NUBIOLA</t>
  </si>
  <si>
    <t>IGNASI</t>
  </si>
  <si>
    <t>RENOVAR EN NOVIMEBRE</t>
  </si>
  <si>
    <t>LA DOBLE COMERCIALES</t>
  </si>
  <si>
    <t>LA DOBLE EMPRESA</t>
  </si>
  <si>
    <t xml:space="preserve">WHITE OWL E&amp;O </t>
  </si>
  <si>
    <t>EN PROCESO DE RENOVACION</t>
  </si>
  <si>
    <t>CACERES RICARDO GMM</t>
  </si>
  <si>
    <r>
      <rPr>
        <sz val="11"/>
        <color theme="9"/>
        <rFont val="Calibri"/>
        <family val="2"/>
        <scheme val="minor"/>
      </rPr>
      <t>ABRIL</t>
    </r>
    <r>
      <rPr>
        <sz val="11"/>
        <color theme="1"/>
        <rFont val="Calibri"/>
        <family val="2"/>
        <scheme val="minor"/>
      </rPr>
      <t xml:space="preserve">,  </t>
    </r>
    <r>
      <rPr>
        <sz val="11"/>
        <color theme="9" tint="-0.499984740745262"/>
        <rFont val="Calibri"/>
        <family val="2"/>
        <scheme val="minor"/>
      </rPr>
      <t>JULIO,</t>
    </r>
    <r>
      <rPr>
        <sz val="11"/>
        <color rgb="FFFF0000"/>
        <rFont val="Calibri"/>
        <family val="2"/>
        <scheme val="minor"/>
      </rPr>
      <t xml:space="preserve"> OCTUBRE, ENERO</t>
    </r>
  </si>
  <si>
    <t>COBRAR EN JULIO</t>
  </si>
  <si>
    <t>RENOVADA</t>
  </si>
  <si>
    <t>AUTO DIANA</t>
  </si>
  <si>
    <t>WHISKY COMERCIALES</t>
  </si>
  <si>
    <t>MEDIA PRO</t>
  </si>
  <si>
    <t>NUEVO AUTO</t>
  </si>
  <si>
    <t>STATUS</t>
  </si>
  <si>
    <t>STATUS DE PRODUCCIÓN (PRE, RODAJE O POST)</t>
  </si>
  <si>
    <t>FECHAS DEL PROYECTO</t>
  </si>
  <si>
    <t>RC GENERAL</t>
  </si>
  <si>
    <t>POLIZA PAGADA</t>
  </si>
  <si>
    <t>VIGENCIA: 18 DE NOVIEMBRE 2023 AL 18 DE FEBRERO 2024.</t>
  </si>
  <si>
    <t>01-05-009797-002-01</t>
  </si>
  <si>
    <t>LOL ARGENTINA T2 .Y T3</t>
  </si>
  <si>
    <t>TERMINÓ EL CIERRE</t>
  </si>
  <si>
    <r>
      <rPr>
        <b/>
        <sz val="11"/>
        <color rgb="FF000000"/>
        <rFont val="Calibri"/>
        <family val="2"/>
        <scheme val="minor"/>
      </rPr>
      <t>Preproducción:</t>
    </r>
    <r>
      <rPr>
        <sz val="11"/>
        <color rgb="FF000000"/>
        <rFont val="Calibri"/>
        <family val="2"/>
        <scheme val="minor"/>
      </rPr>
      <t xml:space="preserve"> 01/12/23 – 10/03/24,  </t>
    </r>
    <r>
      <rPr>
        <b/>
        <sz val="11"/>
        <color rgb="FF000000"/>
        <rFont val="Calibri"/>
        <family val="2"/>
        <scheme val="minor"/>
      </rPr>
      <t>Rodaje</t>
    </r>
    <r>
      <rPr>
        <sz val="11"/>
        <color rgb="FF000000"/>
        <rFont val="Calibri"/>
        <family val="2"/>
        <scheme val="minor"/>
      </rPr>
      <t xml:space="preserve"> 11/03/24 – 26/03/24 </t>
    </r>
    <r>
      <rPr>
        <b/>
        <sz val="11"/>
        <color rgb="FF000000"/>
        <rFont val="Calibri"/>
        <family val="2"/>
        <scheme val="minor"/>
      </rPr>
      <t>Cierre</t>
    </r>
    <r>
      <rPr>
        <sz val="11"/>
        <color rgb="FF000000"/>
        <rFont val="Calibri"/>
        <family val="2"/>
        <scheme val="minor"/>
      </rPr>
      <t xml:space="preserve"> 27/03/25</t>
    </r>
  </si>
  <si>
    <t>DVED/00001929</t>
  </si>
  <si>
    <t xml:space="preserve"> FEBRERO</t>
  </si>
  <si>
    <t>LOL COLOMBIA T2 Y T 3</t>
  </si>
  <si>
    <t>TERMINO EL CIERRE</t>
  </si>
  <si>
    <r>
      <rPr>
        <b/>
        <sz val="11"/>
        <color theme="1"/>
        <rFont val="Calibri"/>
        <family val="2"/>
        <scheme val="minor"/>
      </rPr>
      <t>Preproducción:</t>
    </r>
    <r>
      <rPr>
        <sz val="11"/>
        <color theme="1"/>
        <rFont val="Calibri"/>
        <family val="2"/>
        <scheme val="minor"/>
      </rPr>
      <t xml:space="preserve"> 01/12/23 – 10/03/24,  </t>
    </r>
    <r>
      <rPr>
        <b/>
        <sz val="11"/>
        <color theme="1"/>
        <rFont val="Calibri"/>
        <family val="2"/>
        <scheme val="minor"/>
      </rPr>
      <t>Rodaje</t>
    </r>
    <r>
      <rPr>
        <sz val="11"/>
        <color theme="1"/>
        <rFont val="Calibri"/>
        <family val="2"/>
        <scheme val="minor"/>
      </rPr>
      <t xml:space="preserve"> 11/03/24 – 26/03/24 </t>
    </r>
    <r>
      <rPr>
        <b/>
        <sz val="11"/>
        <color theme="1"/>
        <rFont val="Calibri"/>
        <family val="2"/>
        <scheme val="minor"/>
      </rPr>
      <t>Cierre</t>
    </r>
    <r>
      <rPr>
        <sz val="11"/>
        <color theme="1"/>
        <rFont val="Calibri"/>
        <family val="2"/>
        <scheme val="minor"/>
      </rPr>
      <t xml:space="preserve"> 27/03/25</t>
    </r>
  </si>
  <si>
    <t>DVED/00001930</t>
  </si>
  <si>
    <t>Comerciales 2do recibo</t>
  </si>
  <si>
    <t>VIGENCIA:  30/06/2023 al 30/06/2024</t>
  </si>
  <si>
    <t>01-11-011806-002-01</t>
  </si>
  <si>
    <t>Filmpackage (Comerciales)</t>
  </si>
  <si>
    <t>OME FILMS SA DE CV</t>
  </si>
  <si>
    <t>El Arte de la Resureccion</t>
  </si>
  <si>
    <t>09 DE FEBRERO 2024 AL 09 FEBRERO 2025</t>
  </si>
  <si>
    <t>VISCERAL S de Rl de CV</t>
  </si>
  <si>
    <t>Veracruz</t>
  </si>
  <si>
    <t>SE MANDARON POLIZAS  // FALTA ENVIAR  ENDOSO CON LA OTRA MITAD DEL PRESUPUESTO</t>
  </si>
  <si>
    <r>
      <rPr>
        <b/>
        <sz val="11"/>
        <color rgb="FF000000"/>
        <rFont val="Calibri"/>
        <family val="2"/>
        <scheme val="minor"/>
      </rPr>
      <t xml:space="preserve">PREPRODUCCIÓN: </t>
    </r>
    <r>
      <rPr>
        <sz val="11"/>
        <color rgb="FF000000"/>
        <rFont val="Calibri"/>
        <family val="2"/>
        <scheme val="minor"/>
      </rPr>
      <t xml:space="preserve">06 FEBRERO AL 17 DE JUNIO 2024, </t>
    </r>
    <r>
      <rPr>
        <b/>
        <sz val="11"/>
        <color rgb="FF000000"/>
        <rFont val="Calibri"/>
        <family val="2"/>
        <scheme val="minor"/>
      </rPr>
      <t>RODAJE:</t>
    </r>
    <r>
      <rPr>
        <sz val="11"/>
        <color rgb="FF000000"/>
        <rFont val="Calibri"/>
        <family val="2"/>
        <scheme val="minor"/>
      </rPr>
      <t xml:space="preserve"> 04 DE MARZO AL 03 DE JUNIO 2024, </t>
    </r>
    <r>
      <rPr>
        <b/>
        <sz val="11"/>
        <color rgb="FF000000"/>
        <rFont val="Calibri"/>
        <family val="2"/>
        <scheme val="minor"/>
      </rPr>
      <t>POST PRODUCCIÓN:</t>
    </r>
    <r>
      <rPr>
        <sz val="11"/>
        <color rgb="FF000000"/>
        <rFont val="Calibri"/>
        <family val="2"/>
        <scheme val="minor"/>
      </rPr>
      <t xml:space="preserve"> 24 DE JUNIO 2024 AL 17 DE AMRZO DEL 2025.</t>
    </r>
  </si>
  <si>
    <t>DVEP/00015008</t>
  </si>
  <si>
    <t xml:space="preserve">SE MANDARON POLIZAS  </t>
  </si>
  <si>
    <r>
      <rPr>
        <b/>
        <sz val="11"/>
        <color rgb="FF000000"/>
        <rFont val="Calibri"/>
        <family val="2"/>
        <scheme val="minor"/>
      </rPr>
      <t>PREPRODUCCIÓN:</t>
    </r>
    <r>
      <rPr>
        <sz val="11"/>
        <color rgb="FF000000"/>
        <rFont val="Calibri"/>
        <family val="2"/>
        <scheme val="minor"/>
      </rPr>
      <t xml:space="preserve"> 06 FEBRERO AL 26 DE FEBRERO 2024, </t>
    </r>
    <r>
      <rPr>
        <b/>
        <sz val="11"/>
        <color rgb="FF000000"/>
        <rFont val="Calibri"/>
        <family val="2"/>
        <scheme val="minor"/>
      </rPr>
      <t>RODAJE:</t>
    </r>
    <r>
      <rPr>
        <sz val="11"/>
        <color rgb="FF000000"/>
        <rFont val="Calibri"/>
        <family val="2"/>
        <scheme val="minor"/>
      </rPr>
      <t xml:space="preserve"> 04 DE MARZO AL 03 DE JUNIO 2024, </t>
    </r>
    <r>
      <rPr>
        <b/>
        <sz val="11"/>
        <color rgb="FF000000"/>
        <rFont val="Calibri"/>
        <family val="2"/>
        <scheme val="minor"/>
      </rPr>
      <t xml:space="preserve">POST PRODUCCIÓN: </t>
    </r>
    <r>
      <rPr>
        <sz val="11"/>
        <color rgb="FF000000"/>
        <rFont val="Calibri"/>
        <family val="2"/>
        <scheme val="minor"/>
      </rPr>
      <t>24 DE JUNIO 2024 AL 17 DE AMRZO DEL 2025.</t>
    </r>
  </si>
  <si>
    <t>DVEP/00015009</t>
  </si>
  <si>
    <t>Jalas o te Rajas T2</t>
  </si>
  <si>
    <t>YA TERMINARON</t>
  </si>
  <si>
    <r>
      <rPr>
        <b/>
        <sz val="11"/>
        <color rgb="FF000000"/>
        <rFont val="Calibri"/>
        <family val="2"/>
        <scheme val="minor"/>
      </rPr>
      <t xml:space="preserve">PREPRODUCCIÓN: </t>
    </r>
    <r>
      <rPr>
        <sz val="11"/>
        <color rgb="FF000000"/>
        <rFont val="Calibri"/>
        <family val="2"/>
        <scheme val="minor"/>
      </rPr>
      <t>10 ENERO AL 27 DE ENERO 2024,</t>
    </r>
    <r>
      <rPr>
        <b/>
        <sz val="11"/>
        <color rgb="FF000000"/>
        <rFont val="Calibri"/>
        <family val="2"/>
        <scheme val="minor"/>
      </rPr>
      <t xml:space="preserve"> RODAJE:</t>
    </r>
    <r>
      <rPr>
        <sz val="11"/>
        <color rgb="FF000000"/>
        <rFont val="Calibri"/>
        <family val="2"/>
        <scheme val="minor"/>
      </rPr>
      <t xml:space="preserve"> 14 ENERO 2024 AL 04 FEBRERO 2024, </t>
    </r>
    <r>
      <rPr>
        <b/>
        <sz val="11"/>
        <color rgb="FF000000"/>
        <rFont val="Calibri"/>
        <family val="2"/>
        <scheme val="minor"/>
      </rPr>
      <t>POST PRODUCCIÓN:</t>
    </r>
    <r>
      <rPr>
        <sz val="11"/>
        <color rgb="FF000000"/>
        <rFont val="Calibri"/>
        <family val="2"/>
        <scheme val="minor"/>
      </rPr>
      <t xml:space="preserve"> 05 DE FEBRERO 2024 AL 12 JULIO 2024.</t>
    </r>
  </si>
  <si>
    <t>DVEP/00014806</t>
  </si>
  <si>
    <t>Argos Television</t>
  </si>
  <si>
    <t>La Vida Entera</t>
  </si>
  <si>
    <t>SE ENVIARON POLIZAS EL DIA VIERNES</t>
  </si>
  <si>
    <r>
      <rPr>
        <b/>
        <sz val="11"/>
        <color theme="1"/>
        <rFont val="Calibri"/>
        <family val="2"/>
        <scheme val="minor"/>
      </rPr>
      <t xml:space="preserve">PREPRODUCCIÓN: </t>
    </r>
    <r>
      <rPr>
        <sz val="11"/>
        <color theme="1"/>
        <rFont val="Calibri"/>
        <family val="2"/>
        <scheme val="minor"/>
      </rPr>
      <t xml:space="preserve">27 DE NOV 2023 AL 03 JUNIO 2024, </t>
    </r>
    <r>
      <rPr>
        <b/>
        <sz val="11"/>
        <color theme="1"/>
        <rFont val="Calibri"/>
        <family val="2"/>
        <scheme val="minor"/>
      </rPr>
      <t>RODAJE:</t>
    </r>
    <r>
      <rPr>
        <sz val="11"/>
        <color theme="1"/>
        <rFont val="Calibri"/>
        <family val="2"/>
        <scheme val="minor"/>
      </rPr>
      <t xml:space="preserve"> 12 DE FEB 2024 AL 03 JUN 2024, </t>
    </r>
    <r>
      <rPr>
        <b/>
        <sz val="11"/>
        <color theme="1"/>
        <rFont val="Calibri"/>
        <family val="2"/>
        <scheme val="minor"/>
      </rPr>
      <t>POST PRODUCCIÓN:</t>
    </r>
    <r>
      <rPr>
        <sz val="11"/>
        <color theme="1"/>
        <rFont val="Calibri"/>
        <family val="2"/>
        <scheme val="minor"/>
      </rPr>
      <t xml:space="preserve"> 12 DE FEBERERO MAL 21 DE DICIEMBRE 2024.</t>
    </r>
  </si>
  <si>
    <t>COTIZACIÓN:2 / PÓLIZA: DVEP/00014997</t>
  </si>
  <si>
    <t>Q2</t>
  </si>
  <si>
    <r>
      <rPr>
        <b/>
        <sz val="11"/>
        <color rgb="FF000000"/>
        <rFont val="Calibri"/>
        <family val="2"/>
        <scheme val="minor"/>
      </rPr>
      <t>PREPRODUCCIÓN:</t>
    </r>
    <r>
      <rPr>
        <sz val="11"/>
        <color rgb="FF000000"/>
        <rFont val="Calibri"/>
        <family val="2"/>
        <scheme val="minor"/>
      </rPr>
      <t xml:space="preserve"> 27 DE NOVIEMBRE 2023 AL 11 DE FEBRERO 2024, </t>
    </r>
    <r>
      <rPr>
        <b/>
        <sz val="11"/>
        <color rgb="FF000000"/>
        <rFont val="Calibri"/>
        <family val="2"/>
        <scheme val="minor"/>
      </rPr>
      <t>RODAJE</t>
    </r>
    <r>
      <rPr>
        <sz val="11"/>
        <color rgb="FF000000"/>
        <rFont val="Calibri"/>
        <family val="2"/>
        <scheme val="minor"/>
      </rPr>
      <t xml:space="preserve"> 12 DE FEB AL 2 DE JUN DEL 2024,</t>
    </r>
    <r>
      <rPr>
        <b/>
        <sz val="11"/>
        <color rgb="FF000000"/>
        <rFont val="Calibri"/>
        <family val="2"/>
        <scheme val="minor"/>
      </rPr>
      <t xml:space="preserve"> CIERRE:</t>
    </r>
    <r>
      <rPr>
        <sz val="11"/>
        <color rgb="FF000000"/>
        <rFont val="Calibri"/>
        <family val="2"/>
        <scheme val="minor"/>
      </rPr>
      <t xml:space="preserve"> 03 DE JUN 2024 AL 30 DE JUL 2024, </t>
    </r>
    <r>
      <rPr>
        <b/>
        <sz val="11"/>
        <color rgb="FF000000"/>
        <rFont val="Calibri"/>
        <family val="2"/>
        <scheme val="minor"/>
      </rPr>
      <t>POSTPRODUCCIÓN:</t>
    </r>
    <r>
      <rPr>
        <sz val="11"/>
        <color rgb="FF000000"/>
        <rFont val="Calibri"/>
        <family val="2"/>
        <scheme val="minor"/>
      </rPr>
      <t xml:space="preserve"> 12 DE FEB 2024 AL 31 DE ENE2025.</t>
    </r>
  </si>
  <si>
    <t>COTIZACIÓN:2 / PÓLIZA: DVEP/00014998</t>
  </si>
  <si>
    <r>
      <rPr>
        <b/>
        <sz val="11"/>
        <color rgb="FF000000"/>
        <rFont val="Calibri"/>
        <family val="2"/>
        <scheme val="minor"/>
      </rPr>
      <t xml:space="preserve">PREPRODUCCIÓN: </t>
    </r>
    <r>
      <rPr>
        <sz val="11"/>
        <color rgb="FF000000"/>
        <rFont val="Calibri"/>
        <family val="2"/>
        <scheme val="minor"/>
      </rPr>
      <t xml:space="preserve">25 SEPT 2023 AL 12 ENERO 2024, </t>
    </r>
    <r>
      <rPr>
        <b/>
        <sz val="11"/>
        <color rgb="FF000000"/>
        <rFont val="Calibri"/>
        <family val="2"/>
        <scheme val="minor"/>
      </rPr>
      <t>RODAJE:</t>
    </r>
    <r>
      <rPr>
        <sz val="11"/>
        <color rgb="FF000000"/>
        <rFont val="Calibri"/>
        <family val="2"/>
        <scheme val="minor"/>
      </rPr>
      <t xml:space="preserve"> 14 ENERO2024 AL 02 FEBRERO 2024, </t>
    </r>
    <r>
      <rPr>
        <b/>
        <sz val="11"/>
        <color rgb="FF000000"/>
        <rFont val="Calibri"/>
        <family val="2"/>
        <scheme val="minor"/>
      </rPr>
      <t>CIERRE:</t>
    </r>
    <r>
      <rPr>
        <sz val="11"/>
        <color rgb="FF000000"/>
        <rFont val="Calibri"/>
        <family val="2"/>
        <scheme val="minor"/>
      </rPr>
      <t xml:space="preserve"> 12 JULIO 2024</t>
    </r>
  </si>
  <si>
    <t>DVEP/00014807</t>
  </si>
  <si>
    <t>The Lift Pictures</t>
  </si>
  <si>
    <t>Toros Neza</t>
  </si>
  <si>
    <t>POR TERMINAR</t>
  </si>
  <si>
    <r>
      <rPr>
        <b/>
        <sz val="11"/>
        <color rgb="FF000000"/>
        <rFont val="Calibri"/>
        <family val="2"/>
        <scheme val="minor"/>
      </rPr>
      <t>PREPRODUCCIÓN:</t>
    </r>
    <r>
      <rPr>
        <sz val="11"/>
        <color rgb="FF000000"/>
        <rFont val="Calibri"/>
        <family val="2"/>
        <scheme val="minor"/>
      </rPr>
      <t xml:space="preserve"> 08 DE ENRO 2024 AL 27 DE ENERO 2024, </t>
    </r>
    <r>
      <rPr>
        <b/>
        <sz val="11"/>
        <color rgb="FF000000"/>
        <rFont val="Calibri"/>
        <family val="2"/>
        <scheme val="minor"/>
      </rPr>
      <t>RODAJE:</t>
    </r>
    <r>
      <rPr>
        <sz val="11"/>
        <color rgb="FF000000"/>
        <rFont val="Calibri"/>
        <family val="2"/>
        <scheme val="minor"/>
      </rPr>
      <t xml:space="preserve"> 29 DE ENERO 2024 AL 24 DE FEBRERO 2024, </t>
    </r>
    <r>
      <rPr>
        <b/>
        <sz val="11"/>
        <color rgb="FF000000"/>
        <rFont val="Calibri"/>
        <family val="2"/>
        <scheme val="minor"/>
      </rPr>
      <t>POST PRODUCCIÓN</t>
    </r>
    <r>
      <rPr>
        <sz val="11"/>
        <color rgb="FF000000"/>
        <rFont val="Calibri"/>
        <family val="2"/>
        <scheme val="minor"/>
      </rPr>
      <t>: 26 DE FEBRERO AL 30 DE SEPTIEMBRE 2024.</t>
    </r>
  </si>
  <si>
    <t>COTIZACIÓN: 1 / PÓLIZA: DVEP/00014935</t>
  </si>
  <si>
    <t>Pimienta Pictures</t>
  </si>
  <si>
    <t>Borrado</t>
  </si>
  <si>
    <t>EL PROYECTO ESTA EN  espera del greenlight.</t>
  </si>
  <si>
    <t>FALTA QUE ATERRICEN LA PRODUCCIÓN</t>
  </si>
  <si>
    <t>EN PROCESO DE COTIZACION</t>
  </si>
  <si>
    <t>Ellas Soy Yo</t>
  </si>
  <si>
    <r>
      <rPr>
        <sz val="11"/>
        <color rgb="FF000000"/>
        <rFont val="Calibri"/>
        <family val="2"/>
        <scheme val="minor"/>
      </rPr>
      <t xml:space="preserve">POLIZA PAGADA PERO NO ESTAN GUARDADAS LAS PÓLIZAS, </t>
    </r>
    <r>
      <rPr>
        <sz val="11"/>
        <color rgb="FFFF0000"/>
        <rFont val="Calibri"/>
        <family val="2"/>
        <scheme val="minor"/>
      </rPr>
      <t>reenviar la cadena de ellas soy yo con inbussa en el que proporciona la poliza.</t>
    </r>
  </si>
  <si>
    <t>Tan Lejos de los Días</t>
  </si>
  <si>
    <t>PRODUCCION PENDIENTE</t>
  </si>
  <si>
    <t>GMM Colectivo</t>
  </si>
  <si>
    <t>QUEDA PENDIENTE DE APROBACIÓN</t>
  </si>
  <si>
    <t>GMM</t>
  </si>
  <si>
    <t>BUPA</t>
  </si>
  <si>
    <t>EN PROCESO DE APROBACION</t>
  </si>
  <si>
    <t>MAS GALLO MEDIA</t>
  </si>
  <si>
    <t>Never Before</t>
  </si>
  <si>
    <t>PRODUCCION PENDIENTE ENERO 2024</t>
  </si>
  <si>
    <t>REDRUM</t>
  </si>
  <si>
    <t>Private Property</t>
  </si>
  <si>
    <t>PC Producciones</t>
  </si>
  <si>
    <t>Rompecabezas</t>
  </si>
  <si>
    <t>Ultimo correo Affidavit de Director de fotografía fue el día 05 de noviembre 2024.</t>
  </si>
  <si>
    <t>YA TERMINÓ</t>
  </si>
  <si>
    <t>PREPRODUCCIÓN: 30 DE AGO AL 20 OCT 2024 Y 02 DIC 2024 AL 15 DE DIC 2024, RODAJE: (URUGUAY) 21 DE OCTUBRE AL 15 DE DICIEMBRE 2024; MÉXICO: 16 DE DIC 2024 AL 22 DE DIC 2024, POSTPRODUCCIÓN: 16 AL 22 DICIEMBRE 2024.</t>
  </si>
  <si>
    <t xml:space="preserve">COTIZACIÓN: 14 / DVEP/00015665 </t>
  </si>
  <si>
    <t>Termino vigencia de la polizá 31 de octubre 2024 y solicitaron extensión de vigencia.</t>
  </si>
  <si>
    <t>post producciuon</t>
  </si>
  <si>
    <r>
      <rPr>
        <b/>
        <sz val="11"/>
        <color rgb="FF000000"/>
        <rFont val="Calibri"/>
        <family val="2"/>
        <scheme val="minor"/>
      </rPr>
      <t>PREPRODUCCIÓN:</t>
    </r>
    <r>
      <rPr>
        <sz val="11"/>
        <color rgb="FF000000"/>
        <rFont val="Calibri"/>
        <family val="2"/>
        <scheme val="minor"/>
      </rPr>
      <t xml:space="preserve"> 02 DIC AL 15 DIC 2024, </t>
    </r>
    <r>
      <rPr>
        <b/>
        <sz val="11"/>
        <color rgb="FF000000"/>
        <rFont val="Calibri"/>
        <family val="2"/>
        <scheme val="minor"/>
      </rPr>
      <t>RODAJE:</t>
    </r>
    <r>
      <rPr>
        <sz val="11"/>
        <color rgb="FF000000"/>
        <rFont val="Calibri"/>
        <family val="2"/>
        <scheme val="minor"/>
      </rPr>
      <t xml:space="preserve"> 16 DE DIC AL 22 DIC 2024, </t>
    </r>
    <r>
      <rPr>
        <b/>
        <sz val="11"/>
        <color rgb="FF000000"/>
        <rFont val="Calibri"/>
        <family val="2"/>
        <scheme val="minor"/>
      </rPr>
      <t>CIERRE</t>
    </r>
    <r>
      <rPr>
        <sz val="11"/>
        <color rgb="FF000000"/>
        <rFont val="Calibri"/>
        <family val="2"/>
        <scheme val="minor"/>
      </rPr>
      <t>: 06 ENERO AL 30 DE AGOSTO 2025.</t>
    </r>
  </si>
  <si>
    <t>COTIZACIÓN: 14 /  DVEP/00015599</t>
  </si>
  <si>
    <t xml:space="preserve">Dynamo Contenidos </t>
  </si>
  <si>
    <t>Riviera Maya 2</t>
  </si>
  <si>
    <t>Nunca Antes</t>
  </si>
  <si>
    <t>Belinda Docu Serie</t>
  </si>
  <si>
    <t xml:space="preserve">Visceral </t>
  </si>
  <si>
    <t>Putas Redes Sociales T2</t>
  </si>
  <si>
    <t xml:space="preserve"> </t>
  </si>
  <si>
    <t>PROYECTO TERMINADO</t>
  </si>
  <si>
    <r>
      <rPr>
        <b/>
        <sz val="11"/>
        <color rgb="FF000000"/>
        <rFont val="Calibri"/>
        <family val="2"/>
        <scheme val="minor"/>
      </rPr>
      <t>PREPRODUCCIÓN:</t>
    </r>
    <r>
      <rPr>
        <sz val="11"/>
        <color rgb="FF000000"/>
        <rFont val="Calibri"/>
        <family val="2"/>
        <scheme val="minor"/>
      </rPr>
      <t xml:space="preserve"> 08 de Enero al 27 de Enero del 2024,</t>
    </r>
    <r>
      <rPr>
        <b/>
        <sz val="11"/>
        <color rgb="FF000000"/>
        <rFont val="Calibri"/>
        <family val="2"/>
        <scheme val="minor"/>
      </rPr>
      <t xml:space="preserve"> RODAJE:</t>
    </r>
    <r>
      <rPr>
        <sz val="11"/>
        <color rgb="FF000000"/>
        <rFont val="Calibri"/>
        <family val="2"/>
        <scheme val="minor"/>
      </rPr>
      <t xml:space="preserve"> 29 de Enero al 24 de Febrero del 2024. </t>
    </r>
    <r>
      <rPr>
        <b/>
        <sz val="11"/>
        <color rgb="FF000000"/>
        <rFont val="Calibri"/>
        <family val="2"/>
        <scheme val="minor"/>
      </rPr>
      <t>CIERRE:</t>
    </r>
    <r>
      <rPr>
        <sz val="11"/>
        <color rgb="FF000000"/>
        <rFont val="Calibri"/>
        <family val="2"/>
        <scheme val="minor"/>
      </rPr>
      <t xml:space="preserve"> 26 de Febrero al 08 MARZO del 2024.</t>
    </r>
  </si>
  <si>
    <t>COTIZACIÓN: 01 / DVEP/00014936</t>
  </si>
  <si>
    <t>ABTO FILMS</t>
  </si>
  <si>
    <t>A Billion to One</t>
  </si>
  <si>
    <t>COTIZADA A TRAVES DE GALLAGUER</t>
  </si>
  <si>
    <r>
      <rPr>
        <b/>
        <sz val="11"/>
        <color rgb="FF000000"/>
        <rFont val="Calibri"/>
        <family val="2"/>
        <scheme val="minor"/>
      </rPr>
      <t>Preproducción</t>
    </r>
    <r>
      <rPr>
        <sz val="11"/>
        <color rgb="FF000000"/>
        <rFont val="Calibri"/>
        <family val="2"/>
        <scheme val="minor"/>
      </rPr>
      <t xml:space="preserve"> del 29 de enero al 09 DE JUNIO 2024. RODAJE: 01 DE ABRIL AL 15 DE JUNIO 2024, POST PRODUCCIÓN: 01 DE ABRIL 2024 AL 16 DE MARZO 2025.</t>
    </r>
  </si>
  <si>
    <t>DVEP/00015001</t>
  </si>
  <si>
    <t xml:space="preserve">CF PRODUCCIONES </t>
  </si>
  <si>
    <t>El Juego de las Llaves T3</t>
  </si>
  <si>
    <t>SE ENVIÓ PÓLIZA EL 06 DE JUNIO 2024</t>
  </si>
  <si>
    <t>VIGENCIA DE LA POLIZA: 29 DE FEBRERO 2024 AL 01 DE  MARZO 2027</t>
  </si>
  <si>
    <t>PÓLIZA: 18105 30290373</t>
  </si>
  <si>
    <t>22 FILMS</t>
  </si>
  <si>
    <t>40 y 20</t>
  </si>
  <si>
    <t>REALIZARÓN EL PAGO EL DÍA 29 DE OCTUBRE 2024</t>
  </si>
  <si>
    <r>
      <rPr>
        <b/>
        <sz val="11"/>
        <color rgb="FF000000"/>
        <rFont val="Calibri"/>
        <family val="2"/>
        <scheme val="minor"/>
      </rPr>
      <t xml:space="preserve">PRE: </t>
    </r>
    <r>
      <rPr>
        <sz val="11"/>
        <color rgb="FF000000"/>
        <rFont val="Calibri"/>
        <family val="2"/>
        <scheme val="minor"/>
      </rPr>
      <t xml:space="preserve">20 DE MAYO AL 15 DE JUNIO, </t>
    </r>
    <r>
      <rPr>
        <b/>
        <sz val="11"/>
        <color rgb="FF000000"/>
        <rFont val="Calibri"/>
        <family val="2"/>
        <scheme val="minor"/>
      </rPr>
      <t>RODAJE:</t>
    </r>
    <r>
      <rPr>
        <sz val="11"/>
        <color rgb="FF000000"/>
        <rFont val="Calibri"/>
        <family val="2"/>
        <scheme val="minor"/>
      </rPr>
      <t xml:space="preserve"> 17 DE JUNIO AL 24 DE AGOSTO 2024,</t>
    </r>
    <r>
      <rPr>
        <b/>
        <sz val="11"/>
        <color rgb="FF000000"/>
        <rFont val="Calibri"/>
        <family val="2"/>
        <scheme val="minor"/>
      </rPr>
      <t xml:space="preserve"> POST:</t>
    </r>
    <r>
      <rPr>
        <sz val="11"/>
        <color rgb="FF000000"/>
        <rFont val="Calibri"/>
        <family val="2"/>
        <scheme val="minor"/>
      </rPr>
      <t xml:space="preserve"> 17 DE JUNIO AL 18 DE DICIEMBRE DE 2024</t>
    </r>
  </si>
  <si>
    <t>COTIZACIÓN: 7 / PÓLIZA: DVED/00001976</t>
  </si>
  <si>
    <t>40  y 20</t>
  </si>
  <si>
    <r>
      <rPr>
        <b/>
        <sz val="11"/>
        <color rgb="FF000000"/>
        <rFont val="Calibri"/>
        <family val="2"/>
        <scheme val="minor"/>
      </rPr>
      <t xml:space="preserve">PRE: </t>
    </r>
    <r>
      <rPr>
        <sz val="11"/>
        <color rgb="FF000000"/>
        <rFont val="Calibri"/>
        <family val="2"/>
        <scheme val="minor"/>
      </rPr>
      <t xml:space="preserve">20 DE MAYO AL 15 DE JUNIO, </t>
    </r>
    <r>
      <rPr>
        <b/>
        <sz val="11"/>
        <color rgb="FF000000"/>
        <rFont val="Calibri"/>
        <family val="2"/>
        <scheme val="minor"/>
      </rPr>
      <t>RODAJE:</t>
    </r>
    <r>
      <rPr>
        <sz val="11"/>
        <color rgb="FF000000"/>
        <rFont val="Calibri"/>
        <family val="2"/>
        <scheme val="minor"/>
      </rPr>
      <t xml:space="preserve"> 17 DE JUNIO AL 24 DE AGOSTO 2024,</t>
    </r>
    <r>
      <rPr>
        <b/>
        <sz val="11"/>
        <color rgb="FF000000"/>
        <rFont val="Calibri"/>
        <family val="2"/>
        <scheme val="minor"/>
      </rPr>
      <t xml:space="preserve"> POST:</t>
    </r>
    <r>
      <rPr>
        <sz val="11"/>
        <color rgb="FF000000"/>
        <rFont val="Calibri"/>
        <family val="2"/>
        <scheme val="minor"/>
      </rPr>
      <t xml:space="preserve"> 26 DE AGOSTO AL 07 DE SEPTIEMBRE 2024    VIGENCIA: DEL 07:00 AL </t>
    </r>
  </si>
  <si>
    <t>COTIZACIÓN: 7 / PÓLIZA: DVEP/00015399</t>
  </si>
  <si>
    <t>SE ENVIARON  LOS CREDITOS EL DÍA 29 MAYO 2024</t>
  </si>
  <si>
    <r>
      <rPr>
        <b/>
        <sz val="11"/>
        <color rgb="FF000000"/>
        <rFont val="Calibri"/>
        <family val="2"/>
        <scheme val="minor"/>
      </rPr>
      <t>Preproducción:</t>
    </r>
    <r>
      <rPr>
        <sz val="11"/>
        <color rgb="FF000000"/>
        <rFont val="Calibri"/>
        <family val="2"/>
        <scheme val="minor"/>
      </rPr>
      <t xml:space="preserve"> del 29 de enero al 19 de mayo 2024.</t>
    </r>
    <r>
      <rPr>
        <b/>
        <sz val="11"/>
        <color rgb="FF000000"/>
        <rFont val="Calibri"/>
        <family val="2"/>
        <scheme val="minor"/>
      </rPr>
      <t xml:space="preserve"> Rodaje:</t>
    </r>
    <r>
      <rPr>
        <sz val="11"/>
        <color rgb="FF000000"/>
        <rFont val="Calibri"/>
        <family val="2"/>
        <scheme val="minor"/>
      </rPr>
      <t xml:space="preserve"> del 01 de abril al 26 de mayo 2024.</t>
    </r>
    <r>
      <rPr>
        <b/>
        <sz val="11"/>
        <color rgb="FF000000"/>
        <rFont val="Calibri"/>
        <family val="2"/>
        <scheme val="minor"/>
      </rPr>
      <t xml:space="preserve">  Cierre:</t>
    </r>
    <r>
      <rPr>
        <sz val="11"/>
        <color rgb="FF000000"/>
        <rFont val="Calibri"/>
        <family val="2"/>
        <scheme val="minor"/>
      </rPr>
      <t xml:space="preserve"> del 27 de mayo al 23 de junio 2024.</t>
    </r>
  </si>
  <si>
    <t>DVEP/00015002</t>
  </si>
  <si>
    <t>The Media Pro Studios</t>
  </si>
  <si>
    <t>Mesa de Regalos</t>
  </si>
  <si>
    <t>ULTIMO CORREO DIRECCIÓNANDO PARA COBRANZA EL 01 DE JULIO 2024</t>
  </si>
  <si>
    <t>VIGENCIA: 11 DE JUNIO 2024 AL 11 DE JUNIO 2027</t>
  </si>
  <si>
    <t>01-05-016176-000-01</t>
  </si>
  <si>
    <t>Crush  T1</t>
  </si>
  <si>
    <t>ENVÍARON COMPROBASTE DE PAGO EL DÍA 14 DE MAYO DEL 2024</t>
  </si>
  <si>
    <t>FALTA SABER SI SOLO ES FILMACIÓN O RIESGOS PROFESIONALES TAMBIEN</t>
  </si>
  <si>
    <r>
      <rPr>
        <b/>
        <sz val="11"/>
        <color rgb="FF000000"/>
        <rFont val="Calibri"/>
        <family val="2"/>
        <scheme val="minor"/>
      </rPr>
      <t xml:space="preserve">PRIMRA TEMPORADA
</t>
    </r>
    <r>
      <rPr>
        <sz val="11"/>
        <color rgb="FF000000"/>
        <rFont val="Calibri"/>
        <family val="2"/>
        <scheme val="minor"/>
      </rPr>
      <t xml:space="preserve">Preproducción: 11 de marzo al  26 de abril
Rodaje /  Grabación 29 de abril al 14 de mayo
Cierre 02 de mayo al 13 de septiembre                 
</t>
    </r>
  </si>
  <si>
    <t>COTIZACIÓN 04/ PÓLIZA: DVED/00001956</t>
  </si>
  <si>
    <t>Q3</t>
  </si>
  <si>
    <r>
      <rPr>
        <b/>
        <sz val="11"/>
        <color theme="1"/>
        <rFont val="Calibri"/>
        <family val="2"/>
        <scheme val="minor"/>
      </rPr>
      <t>PRIMRA TEMPORADA</t>
    </r>
    <r>
      <rPr>
        <sz val="11"/>
        <color theme="1"/>
        <rFont val="Calibri"/>
        <family val="2"/>
        <scheme val="minor"/>
      </rPr>
      <t xml:space="preserve">
Preproducción: 11 de marzo al  26 de abril
Rodaje /  Grabación 29 de abril al 14 de mayo
Cierre 02 de mayo al 13 de septiembre                 
</t>
    </r>
    <r>
      <rPr>
        <b/>
        <sz val="11"/>
        <color theme="1"/>
        <rFont val="Calibri"/>
        <family val="2"/>
        <scheme val="minor"/>
      </rPr>
      <t xml:space="preserve">SEGUNDA TEMPORADA, </t>
    </r>
    <r>
      <rPr>
        <sz val="11"/>
        <color theme="1"/>
        <rFont val="Calibri"/>
        <family val="2"/>
        <scheme val="minor"/>
      </rPr>
      <t xml:space="preserve">
Preproducción 29 julio al 30 de agosto 
Rodaje /  Grabación  2 al 14 de septiembre
Cierre  04 septiembre 2024  al 23 de enero 2025</t>
    </r>
  </si>
  <si>
    <t>Crush T2</t>
  </si>
  <si>
    <t>YA NO SE CONFIRMO EL GREEN Light</t>
  </si>
  <si>
    <r>
      <rPr>
        <sz val="11"/>
        <color rgb="FF000000"/>
        <rFont val="Calibri"/>
        <family val="2"/>
        <scheme val="minor"/>
      </rPr>
      <t xml:space="preserve">SEGUNDA TEMPORADA, 
</t>
    </r>
    <r>
      <rPr>
        <b/>
        <sz val="11"/>
        <color rgb="FF000000"/>
        <rFont val="Calibri"/>
        <family val="2"/>
        <scheme val="minor"/>
      </rPr>
      <t xml:space="preserve">Preproducción </t>
    </r>
    <r>
      <rPr>
        <sz val="11"/>
        <color rgb="FF000000"/>
        <rFont val="Calibri"/>
        <family val="2"/>
        <scheme val="minor"/>
      </rPr>
      <t xml:space="preserve">29 julio al 27 de septiembre
</t>
    </r>
    <r>
      <rPr>
        <b/>
        <sz val="11"/>
        <color rgb="FF000000"/>
        <rFont val="Calibri"/>
        <family val="2"/>
        <scheme val="minor"/>
      </rPr>
      <t xml:space="preserve">Rodaje </t>
    </r>
    <r>
      <rPr>
        <sz val="11"/>
        <color rgb="FF000000"/>
        <rFont val="Calibri"/>
        <family val="2"/>
        <scheme val="minor"/>
      </rPr>
      <t xml:space="preserve">/  Grabación  2 al 14 de septiembre
</t>
    </r>
    <r>
      <rPr>
        <b/>
        <sz val="11"/>
        <color rgb="FF000000"/>
        <rFont val="Calibri"/>
        <family val="2"/>
        <scheme val="minor"/>
      </rPr>
      <t xml:space="preserve">Cierre </t>
    </r>
    <r>
      <rPr>
        <sz val="11"/>
        <color rgb="FF000000"/>
        <rFont val="Calibri"/>
        <family val="2"/>
        <scheme val="minor"/>
      </rPr>
      <t xml:space="preserve"> 04 septiembre 2024 al 23 de enero 2025</t>
    </r>
  </si>
  <si>
    <t>COTIZACIÓN: 05/</t>
  </si>
  <si>
    <t>SOLO SE COTIZÓ Y NO SE REALIZÓ ESTE AÑO.</t>
  </si>
  <si>
    <r>
      <t xml:space="preserve">SEGUNDA TEMPORADA, 
</t>
    </r>
    <r>
      <rPr>
        <b/>
        <sz val="11"/>
        <color rgb="FF000000"/>
        <rFont val="Calibri"/>
        <family val="2"/>
        <scheme val="minor"/>
      </rPr>
      <t xml:space="preserve">Preproducción </t>
    </r>
    <r>
      <rPr>
        <sz val="11"/>
        <color rgb="FF000000"/>
        <rFont val="Calibri"/>
        <family val="2"/>
        <scheme val="minor"/>
      </rPr>
      <t xml:space="preserve">29 julio al 27 de septiembre
</t>
    </r>
    <r>
      <rPr>
        <b/>
        <sz val="11"/>
        <color rgb="FF000000"/>
        <rFont val="Calibri"/>
        <family val="2"/>
        <scheme val="minor"/>
      </rPr>
      <t xml:space="preserve">Rodaje </t>
    </r>
    <r>
      <rPr>
        <sz val="11"/>
        <color rgb="FF000000"/>
        <rFont val="Calibri"/>
        <family val="2"/>
        <scheme val="minor"/>
      </rPr>
      <t xml:space="preserve">/  Grabación  2 al 14 de septiembre
</t>
    </r>
    <r>
      <rPr>
        <b/>
        <sz val="11"/>
        <color rgb="FF000000"/>
        <rFont val="Calibri"/>
        <family val="2"/>
        <scheme val="minor"/>
      </rPr>
      <t xml:space="preserve">Cierre </t>
    </r>
    <r>
      <rPr>
        <sz val="11"/>
        <color rgb="FF000000"/>
        <rFont val="Calibri"/>
        <family val="2"/>
        <scheme val="minor"/>
      </rPr>
      <t xml:space="preserve"> 04 septiembre 2024 al 23 de enero 2025</t>
    </r>
  </si>
  <si>
    <t>Producciones TMS</t>
  </si>
  <si>
    <t>Intercambiadas</t>
  </si>
  <si>
    <t>SE ENCUENTRA EN DECLARACIÓN  12 MAR24</t>
  </si>
  <si>
    <r>
      <rPr>
        <b/>
        <sz val="11"/>
        <color rgb="FF000000"/>
        <rFont val="Calibri"/>
        <family val="2"/>
        <scheme val="minor"/>
      </rPr>
      <t>Preproducción:</t>
    </r>
    <r>
      <rPr>
        <sz val="11"/>
        <color rgb="FF000000"/>
        <rFont val="Calibri"/>
        <family val="2"/>
        <scheme val="minor"/>
      </rPr>
      <t xml:space="preserve"> 22 DE ENERO AL 25 DE FEBRERO, </t>
    </r>
    <r>
      <rPr>
        <b/>
        <sz val="11"/>
        <color rgb="FF000000"/>
        <rFont val="Calibri"/>
        <family val="2"/>
        <scheme val="minor"/>
      </rPr>
      <t>Rodaje:</t>
    </r>
    <r>
      <rPr>
        <sz val="11"/>
        <color rgb="FF000000"/>
        <rFont val="Calibri"/>
        <family val="2"/>
        <scheme val="minor"/>
      </rPr>
      <t xml:space="preserve"> 26 DE FEBRERO AL 23 DE MARZO, </t>
    </r>
    <r>
      <rPr>
        <b/>
        <sz val="11"/>
        <color rgb="FF000000"/>
        <rFont val="Calibri"/>
        <family val="2"/>
        <scheme val="minor"/>
      </rPr>
      <t>POST:</t>
    </r>
    <r>
      <rPr>
        <sz val="11"/>
        <color rgb="FF000000"/>
        <rFont val="Calibri"/>
        <family val="2"/>
        <scheme val="minor"/>
      </rPr>
      <t xml:space="preserve"> 26 DE FEBRERO AL 14 DE JUNIO 2024</t>
    </r>
  </si>
  <si>
    <t>COTIZACIÓN: 3/ PÓLIZA: DVEP/00014995</t>
  </si>
  <si>
    <r>
      <rPr>
        <b/>
        <sz val="11"/>
        <color rgb="FF000000"/>
        <rFont val="Calibri"/>
        <family val="2"/>
        <scheme val="minor"/>
      </rPr>
      <t xml:space="preserve">Preproducción: </t>
    </r>
    <r>
      <rPr>
        <sz val="11"/>
        <color rgb="FF000000"/>
        <rFont val="Calibri"/>
        <family val="2"/>
        <scheme val="minor"/>
      </rPr>
      <t>22 DE ENERO AL 25 DE FEBRERO,</t>
    </r>
    <r>
      <rPr>
        <b/>
        <sz val="11"/>
        <color rgb="FF000000"/>
        <rFont val="Calibri"/>
        <family val="2"/>
        <scheme val="minor"/>
      </rPr>
      <t xml:space="preserve"> Rodaje: </t>
    </r>
    <r>
      <rPr>
        <sz val="11"/>
        <color rgb="FF000000"/>
        <rFont val="Calibri"/>
        <family val="2"/>
        <scheme val="minor"/>
      </rPr>
      <t xml:space="preserve">26 DE FEBRERO AL 23 DE MARZO, </t>
    </r>
    <r>
      <rPr>
        <b/>
        <sz val="11"/>
        <color rgb="FF000000"/>
        <rFont val="Calibri"/>
        <family val="2"/>
        <scheme val="minor"/>
      </rPr>
      <t>CIERRE</t>
    </r>
    <r>
      <rPr>
        <sz val="11"/>
        <color rgb="FF000000"/>
        <rFont val="Calibri"/>
        <family val="2"/>
        <scheme val="minor"/>
      </rPr>
      <t>: 25 AL 30 DE MARZO 2024</t>
    </r>
  </si>
  <si>
    <t>COTIZACIÓN: 3/ PÓLIZA: DVEP/00014996</t>
  </si>
  <si>
    <t>ULTIMO CORREO DE JOSE EL 09 DE FEBRERO DONDE EXPLICA QUE YA SE ENVÍO LAS POLIZAS DE FILMACIÓN.</t>
  </si>
  <si>
    <t>•	Preproducción: 15 de enero al 16 de febrero 2024
•	Producción, Rodaje: 19 de febrero al 23 de marzo
•	Finalización estimada de la copia master: 30 de Septiembre de 2024.</t>
  </si>
  <si>
    <t>01-11-014621-000-01</t>
  </si>
  <si>
    <t>RC Evento Guadalajara</t>
  </si>
  <si>
    <t>VIGENCIA: 27 DE FEBRERO 2024 AL 02 MARZO DEL 2024</t>
  </si>
  <si>
    <t>01-05-014667-000-01</t>
  </si>
  <si>
    <t>Producciones Ex Content</t>
  </si>
  <si>
    <t>Ugly T2</t>
  </si>
  <si>
    <r>
      <rPr>
        <b/>
        <sz val="11"/>
        <color rgb="FF000000"/>
        <rFont val="Calibri"/>
        <family val="2"/>
        <scheme val="minor"/>
      </rPr>
      <t>PRE:</t>
    </r>
    <r>
      <rPr>
        <sz val="11"/>
        <color rgb="FF000000"/>
        <rFont val="Calibri"/>
        <family val="2"/>
        <scheme val="minor"/>
      </rPr>
      <t xml:space="preserve"> 15 ENERO AL 16 DE FEBRERO, </t>
    </r>
    <r>
      <rPr>
        <b/>
        <sz val="11"/>
        <color rgb="FF000000"/>
        <rFont val="Calibri"/>
        <family val="2"/>
        <scheme val="minor"/>
      </rPr>
      <t>RODAJE:</t>
    </r>
    <r>
      <rPr>
        <sz val="11"/>
        <color rgb="FF000000"/>
        <rFont val="Calibri"/>
        <family val="2"/>
        <scheme val="minor"/>
      </rPr>
      <t xml:space="preserve"> 19 DE FEBRERO AL 23 DE MARZO, </t>
    </r>
    <r>
      <rPr>
        <b/>
        <sz val="11"/>
        <color rgb="FF000000"/>
        <rFont val="Calibri"/>
        <family val="2"/>
        <scheme val="minor"/>
      </rPr>
      <t>CIERRE:</t>
    </r>
    <r>
      <rPr>
        <sz val="11"/>
        <color rgb="FF000000"/>
        <rFont val="Calibri"/>
        <family val="2"/>
        <scheme val="minor"/>
      </rPr>
      <t xml:space="preserve"> 30 DE SEPTIEMBRE 2024.</t>
    </r>
  </si>
  <si>
    <t>01-11-014596-000-01</t>
  </si>
  <si>
    <t>VIGENCIA: 20 DE FEBRERO 2024 AL 20 DE FEBRERO 2025.</t>
  </si>
  <si>
    <t>01-05-015733-000-01</t>
  </si>
  <si>
    <t>Anima Films</t>
  </si>
  <si>
    <t>Cobalto</t>
  </si>
  <si>
    <t>Solo para Mujeres</t>
  </si>
  <si>
    <t>YA CUENTAN CON SEGURO</t>
  </si>
  <si>
    <t>FAMA</t>
  </si>
  <si>
    <t>Se le envió un corre3o preguntando si seguirian declarando a lo cual no obtuvimos respuesta se envió el 08 de julio 2024</t>
  </si>
  <si>
    <r>
      <rPr>
        <b/>
        <sz val="11"/>
        <color rgb="FF000000"/>
        <rFont val="Calibri"/>
        <family val="2"/>
        <scheme val="minor"/>
      </rPr>
      <t>Preproducción</t>
    </r>
    <r>
      <rPr>
        <sz val="11"/>
        <color rgb="FF000000"/>
        <rFont val="Calibri"/>
        <family val="2"/>
        <scheme val="minor"/>
      </rPr>
      <t xml:space="preserve"> - 26 de febrero del 2024 al 16 de junio del 2024 • </t>
    </r>
    <r>
      <rPr>
        <b/>
        <sz val="11"/>
        <color rgb="FF000000"/>
        <rFont val="Calibri"/>
        <family val="2"/>
        <scheme val="minor"/>
      </rPr>
      <t xml:space="preserve">Rodaje </t>
    </r>
    <r>
      <rPr>
        <sz val="11"/>
        <color rgb="FF000000"/>
        <rFont val="Calibri"/>
        <family val="2"/>
        <scheme val="minor"/>
      </rPr>
      <t>– 15 de abril del 2024 al 2 de junio del 2024 • POST– del 15 DE ABRIL al 10 de NOVIMEBRE del 2024</t>
    </r>
  </si>
  <si>
    <t>COTIZACIÓN: 8/ PÓLIZA: DVED/00001960</t>
  </si>
  <si>
    <r>
      <rPr>
        <b/>
        <sz val="11"/>
        <color theme="1"/>
        <rFont val="Calibri"/>
        <family val="2"/>
        <scheme val="minor"/>
      </rPr>
      <t xml:space="preserve">PRE: </t>
    </r>
    <r>
      <rPr>
        <sz val="11"/>
        <color theme="1"/>
        <rFont val="Calibri"/>
        <family val="2"/>
        <scheme val="minor"/>
      </rPr>
      <t xml:space="preserve">26 DE FEBRERO AL 12 DE ABRIL 2024, </t>
    </r>
    <r>
      <rPr>
        <b/>
        <sz val="11"/>
        <color theme="1"/>
        <rFont val="Calibri"/>
        <family val="2"/>
        <scheme val="minor"/>
      </rPr>
      <t>RODAJE:</t>
    </r>
    <r>
      <rPr>
        <sz val="11"/>
        <color theme="1"/>
        <rFont val="Calibri"/>
        <family val="2"/>
        <scheme val="minor"/>
      </rPr>
      <t xml:space="preserve"> 15 DE ABRIL AL 2 DE JUNIO 2024, </t>
    </r>
    <r>
      <rPr>
        <b/>
        <sz val="11"/>
        <color theme="1"/>
        <rFont val="Calibri"/>
        <family val="2"/>
        <scheme val="minor"/>
      </rPr>
      <t>CIERRE:</t>
    </r>
    <r>
      <rPr>
        <sz val="11"/>
        <color theme="1"/>
        <rFont val="Calibri"/>
        <family val="2"/>
        <scheme val="minor"/>
      </rPr>
      <t xml:space="preserve"> 03 JUNIO AL 22 JUNIO 2024.</t>
    </r>
  </si>
  <si>
    <t>DVEP/00015222</t>
  </si>
  <si>
    <t>Hasta la Madre con la Navidad Reshoot</t>
  </si>
  <si>
    <t>Se encuentra en declaración y se recordó declarar 20 de marzo 2024, el cliente ya no declaro más</t>
  </si>
  <si>
    <r>
      <rPr>
        <b/>
        <sz val="11"/>
        <color rgb="FF000000"/>
        <rFont val="Calibri"/>
        <family val="2"/>
        <scheme val="minor"/>
      </rPr>
      <t>vigencia:</t>
    </r>
    <r>
      <rPr>
        <sz val="11"/>
        <color rgb="FF000000"/>
        <rFont val="Calibri"/>
        <family val="2"/>
        <scheme val="minor"/>
      </rPr>
      <t xml:space="preserve"> 14 al 18 de marzo 2024</t>
    </r>
  </si>
  <si>
    <t>DVEP/00015061</t>
  </si>
  <si>
    <r>
      <rPr>
        <b/>
        <sz val="11"/>
        <color rgb="FF000000"/>
        <rFont val="Calibri"/>
        <family val="2"/>
        <scheme val="minor"/>
      </rPr>
      <t>PRE</t>
    </r>
    <r>
      <rPr>
        <sz val="11"/>
        <color rgb="FF000000"/>
        <rFont val="Calibri"/>
        <family val="2"/>
        <scheme val="minor"/>
      </rPr>
      <t xml:space="preserve">: 04 DE MARZO AL 17 MARZO 2024, </t>
    </r>
    <r>
      <rPr>
        <b/>
        <sz val="11"/>
        <color rgb="FF000000"/>
        <rFont val="Calibri"/>
        <family val="2"/>
        <scheme val="minor"/>
      </rPr>
      <t>RODAJE:</t>
    </r>
    <r>
      <rPr>
        <sz val="11"/>
        <color rgb="FF000000"/>
        <rFont val="Calibri"/>
        <family val="2"/>
        <scheme val="minor"/>
      </rPr>
      <t xml:space="preserve">  15 AL 17 DE MARZO, </t>
    </r>
    <r>
      <rPr>
        <b/>
        <sz val="11"/>
        <color rgb="FF000000"/>
        <rFont val="Calibri"/>
        <family val="2"/>
        <scheme val="minor"/>
      </rPr>
      <t xml:space="preserve">POST: </t>
    </r>
    <r>
      <rPr>
        <sz val="11"/>
        <color rgb="FF000000"/>
        <rFont val="Calibri"/>
        <family val="2"/>
        <scheme val="minor"/>
      </rPr>
      <t>18 DE MARZO AL 30 DE AGOSTO.</t>
    </r>
  </si>
  <si>
    <t>DVEP/00015064</t>
  </si>
  <si>
    <t>Riquisimos por Cierto</t>
  </si>
  <si>
    <t>Ya se pago la diferencia y ya aparece la comisión en el portal de Allianz</t>
  </si>
  <si>
    <r>
      <rPr>
        <b/>
        <sz val="11"/>
        <color theme="1"/>
        <rFont val="Calibri"/>
        <family val="2"/>
        <scheme val="minor"/>
      </rPr>
      <t xml:space="preserve">PRE: </t>
    </r>
    <r>
      <rPr>
        <sz val="11"/>
        <color theme="1"/>
        <rFont val="Calibri"/>
        <family val="2"/>
        <scheme val="minor"/>
      </rPr>
      <t xml:space="preserve">20 DE MAYO AL 15 DE JULIO 2024, </t>
    </r>
    <r>
      <rPr>
        <b/>
        <sz val="11"/>
        <color theme="1"/>
        <rFont val="Calibri"/>
        <family val="2"/>
        <scheme val="minor"/>
      </rPr>
      <t xml:space="preserve">RODAJE: </t>
    </r>
    <r>
      <rPr>
        <sz val="11"/>
        <color theme="1"/>
        <rFont val="Calibri"/>
        <family val="2"/>
        <scheme val="minor"/>
      </rPr>
      <t xml:space="preserve">10 DE JUNIO AL 13 DE JULIO 2024, </t>
    </r>
    <r>
      <rPr>
        <b/>
        <sz val="11"/>
        <color theme="1"/>
        <rFont val="Calibri"/>
        <family val="2"/>
        <scheme val="minor"/>
      </rPr>
      <t xml:space="preserve">POST: </t>
    </r>
    <r>
      <rPr>
        <sz val="11"/>
        <color theme="1"/>
        <rFont val="Calibri"/>
        <family val="2"/>
        <scheme val="minor"/>
      </rPr>
      <t>17 DE JUNIO AL 07 DE OCTUBRE DEL 2024</t>
    </r>
  </si>
  <si>
    <t>COTIZACIÓN: 10/ PÓLIZA: DVED/00001965</t>
  </si>
  <si>
    <t>Q4</t>
  </si>
  <si>
    <t>Aun no se paga la diferencia de $2,985.31 se notificó esto  el día 30 de julio 2024</t>
  </si>
  <si>
    <r>
      <rPr>
        <b/>
        <sz val="11"/>
        <color theme="1"/>
        <rFont val="Calibri"/>
        <family val="2"/>
        <scheme val="minor"/>
      </rPr>
      <t xml:space="preserve">VIGENCIA: </t>
    </r>
    <r>
      <rPr>
        <sz val="11"/>
        <color theme="1"/>
        <rFont val="Calibri"/>
        <family val="2"/>
        <scheme val="minor"/>
      </rPr>
      <t xml:space="preserve"> DEL 10 DE JUNIO AL 15 DE JULIO 2024</t>
    </r>
  </si>
  <si>
    <t>COTIZACIÓN: 10/ PÓLIZA: DVEP/00015300</t>
  </si>
  <si>
    <t>GICSA</t>
  </si>
  <si>
    <t>AUDITORIA INMUEBLES 1ER PAGO (LEZA)</t>
  </si>
  <si>
    <t>FALTA PRESENTACIÓN FINAL, EXPONER A DIODORO</t>
  </si>
  <si>
    <t>TERMINA EL 23 JULIO 2024</t>
  </si>
  <si>
    <t>N/A</t>
  </si>
  <si>
    <t>GIGSA</t>
  </si>
  <si>
    <t>Independiente</t>
  </si>
  <si>
    <t>SI (LEZA)</t>
  </si>
  <si>
    <t>Barreda Luna Fernando</t>
  </si>
  <si>
    <t>Alters</t>
  </si>
  <si>
    <t>SE COMPARTIERON LOS FORMATOS EN CASO DE SINIESTRO EL 25 DE MARZO 2024.</t>
  </si>
  <si>
    <t>VIGENCIA:   15 MARZO 2024  AL
 31 MAYO 2025</t>
  </si>
  <si>
    <t>01-11-014917-000-01</t>
  </si>
  <si>
    <t>El Estudio</t>
  </si>
  <si>
    <t>Al Chile</t>
  </si>
  <si>
    <t>COMPARTIO LOS COMPROBANTES DE PAGO EL DÍA 26 DE ABRIL 2024</t>
  </si>
  <si>
    <t>Preproducción: 11 de marzo al 28 de abril 2024, Rodaje: 29 de abril al 31 de mayo 2024 , Cierre: 1 de junio al 15 de octubre  2024</t>
  </si>
  <si>
    <t>COTIZACIÓN: 06/ PÓLIZA:  DVEP/00015118</t>
  </si>
  <si>
    <t>COTIZACIÓN: 6/ POLIZA: DVEP/00015119</t>
  </si>
  <si>
    <t xml:space="preserve">Cada Minuto Cuenta Extensión de Postproduccion </t>
  </si>
  <si>
    <t>FALTA ENVÍAR COMPLEMENTO DE PAGO AL ASEGURADO, RECORDÓ EL DÍA 15 DE ABRIL 2024</t>
  </si>
  <si>
    <t>VIGENCIA: DEL 29 DE FEBRERO AL 01 DE ABRIL 2025</t>
  </si>
  <si>
    <t>DVEP/00015068</t>
  </si>
  <si>
    <t xml:space="preserve">Kramer </t>
  </si>
  <si>
    <t>A Cielo Abieto</t>
  </si>
  <si>
    <t>NOS DEJARON EN STANDBY POR PARTE DEL CLIENTE EL 18 DE 3JULIO 2024</t>
  </si>
  <si>
    <t>Ugly T2 (Autoliability)</t>
  </si>
  <si>
    <t>VIGENCIA: 20 DE FEBRERO 2024 AL 20 DE FEBRERO 2025</t>
  </si>
  <si>
    <t>Autoliability</t>
  </si>
  <si>
    <t>amazon</t>
  </si>
  <si>
    <t>NO NOS HAN REGRESADO LOS CUESTIONERIOS LLENADOS</t>
  </si>
  <si>
    <t>MORADO SUBIDO</t>
  </si>
  <si>
    <t>Complices</t>
  </si>
  <si>
    <t>21 DE AGOSTO NOS NOTIFICARON SOBRE EL ACCIDENTE DE  Leonardo Tonatiuh Sandoval</t>
  </si>
  <si>
    <t xml:space="preserve">Indicar fecha:	 27 DE JUNIO 2024 – 13 DE JULIO 2024	
Indicar fecha de montaje:	 27 DE JUNIO 2024	
Indicar fecha de desmontaje:	 31 DE AGOSTO 2024	
Indicar inicio y termino de
rodaje:	 22 DE JULIO DE 2024 – 28 DE SEPTIEMBRE DE 2024	</t>
  </si>
  <si>
    <t>COTIZACIÓN: 09/ PÓLIZA:  DVEP/00015362</t>
  </si>
  <si>
    <t>COTIZACIÓN: 09/ PÓLIZA: DVEP/00015361</t>
  </si>
  <si>
    <t>FALTA QUE ENVIEN COMPLEMENTO DE PAGO DE BERKLEY POR PARTE DE NOSOTROS 21 AGOSTO 2024</t>
  </si>
  <si>
    <t>VIGENCIA: 02 DE DICIEMBRE 2024 AL 02 DICIEMBRE 2025</t>
  </si>
  <si>
    <t xml:space="preserve">01-05-014979-000-01 </t>
  </si>
  <si>
    <t>LOST GIRL</t>
  </si>
  <si>
    <t>FALTA QUE LE ENVIEMOS LA FACTURA A GIULIANA, NOS RECORDO EL 13 DE AGOSTO 2024</t>
  </si>
  <si>
    <t>VIGENCIA: 18 DE MARZO 2024 AL 31 DE ENRO 2025</t>
  </si>
  <si>
    <t>01-11-015426-000-01</t>
  </si>
  <si>
    <t>MANDO CORREO SOLICITANDO QUE EN LA POLIZA DIGA LA COBERTURA RETROACTIVA AL DESARROLLO EL DÍA:  23 DE AGOSTO 2024</t>
  </si>
  <si>
    <t>VIGENCIA: 03 DE JULIO 2024 AL 03 JULIO 2027</t>
  </si>
  <si>
    <t xml:space="preserve">   18105 30291826 </t>
  </si>
  <si>
    <t>LEMON</t>
  </si>
  <si>
    <t>LAS AZULES</t>
  </si>
  <si>
    <t>ULTIMO CORREO EL EL 18 DE JULIO 2024 DE VERONICA TAPIA.</t>
  </si>
  <si>
    <t>VIGENCIA: 29 DE ABRIL 2024 AL 29 DE ABRIL 2027</t>
  </si>
  <si>
    <t xml:space="preserve"> 18105 30290694</t>
  </si>
  <si>
    <t xml:space="preserve">Trastevere </t>
  </si>
  <si>
    <t>Veracruz 2da parte del presupuesto</t>
  </si>
  <si>
    <t>SE MANDO POR PARTE DEL CLIENTE FORMATOS PARA DECLARAR PERO NO SE CONFIRMO DE RECIBIDO EL DÍA  02 DE JULIO 2024</t>
  </si>
  <si>
    <t>VIGENCIA: 27/05/2024  AL  12/02/2025</t>
  </si>
  <si>
    <t>DVEP/00015008 / A0001/5</t>
  </si>
  <si>
    <t>ORMUZ</t>
  </si>
  <si>
    <t>Comisión Reaseguro Ellas Soy Yo</t>
  </si>
  <si>
    <t>NO HAY CARPETA</t>
  </si>
  <si>
    <t>Reaseguro</t>
  </si>
  <si>
    <t>MGM TELEVISION</t>
  </si>
  <si>
    <t>Gato Negro</t>
  </si>
  <si>
    <t>NICO NOS ENVIÓ LAS FACTURAS EL 05 DE AGOSTO 2024 Y SE MANDO A APLICAR EL PAGO EL DÍA 29 DE JULIO 2024</t>
  </si>
  <si>
    <t>· Preproducción: Del 1ero de abril al 21 de junio de 2024
· Rodaje: Del 24 de junio al 23 de octubre de 2024
· Cierre: Del 24 de octubre de 2024 al 17 de enero de 2025</t>
  </si>
  <si>
    <t>DVEP/00015354</t>
  </si>
  <si>
    <t>Paramount / HUB</t>
  </si>
  <si>
    <t>Buki</t>
  </si>
  <si>
    <t xml:space="preserve">EN PROYECTO </t>
  </si>
  <si>
    <t>EN PROYECTO TODAVIA</t>
  </si>
  <si>
    <t>Alazraki Content</t>
  </si>
  <si>
    <t>La Oficina</t>
  </si>
  <si>
    <t>SE ENCUENTRA EN PROCESO DE COBRANZA ULTIMO CORREO 19 DE AGOSTO 2024</t>
  </si>
  <si>
    <t>pre: 03 de junio 2024, termino del 19 de agosyo al 12 de octubre, post producción: 19 de agosto del 2024  al 01 de mayo 2025</t>
  </si>
  <si>
    <t>DVEP/00015393</t>
  </si>
  <si>
    <t xml:space="preserve">SOFT PRE: 3 JUNIO  
• Preproducción: 1 JULIO 2024 
• Rodaje : 19 AGOSTO – 12 OCTUBRE  
• Cierre : 14 octubre – 1 noviembre   </t>
  </si>
  <si>
    <t>DVEP/00015389</t>
  </si>
  <si>
    <t>Whisky Content</t>
  </si>
  <si>
    <t>Renovacion Póliza Comerciales</t>
  </si>
  <si>
    <t>SE ENVIÓ POLIZA COMER CIAL EL DÍA 12 DE JUNIO 2024</t>
  </si>
  <si>
    <t>VIGENCIA: 30 DE MAYO 2024 AL 30 DE MAYO 2025</t>
  </si>
  <si>
    <t>01-11-011728-000-02</t>
  </si>
  <si>
    <t>Endoso Comercial Panama</t>
  </si>
  <si>
    <t>SE NOTIFICO A MONICA QUE EL ENDOSO NO GENERO COMPLEMENTO DE PAGO EL DÍA 03 DE JULIO 2024</t>
  </si>
  <si>
    <t>VIGENCIA: 04 A 07 DE JUNIO 2024</t>
  </si>
  <si>
    <t>01-11-011728-004-02 END 04</t>
  </si>
  <si>
    <t>Endoso ampliación de cobertura RC 2</t>
  </si>
  <si>
    <t>NOS ENVIARON EL COMPROBANTE DE PAGO DE EXTENSIÓN DE VIGENCIA EL 07 DE MARZO 2024</t>
  </si>
  <si>
    <t>VIGENCIA: 18 DE FEBRERO AL 28 DE MARZO 2024</t>
  </si>
  <si>
    <t>01-05-009797-003-01</t>
  </si>
  <si>
    <t>MOF</t>
  </si>
  <si>
    <t>NO ESTOY COPIADO</t>
  </si>
  <si>
    <t>Riksmedia /  Sergio</t>
  </si>
  <si>
    <t>COBRA</t>
  </si>
  <si>
    <t>Los Regionales</t>
  </si>
  <si>
    <t>PROYECTO SE ENCUENTRA EN PAUSA</t>
  </si>
  <si>
    <t xml:space="preserve">Paloma Negra </t>
  </si>
  <si>
    <t>Untitled DetectiveStory</t>
  </si>
  <si>
    <t>QUEDARON DE HACER EL DEPOSITO EL 17 DE ENERO 2025</t>
  </si>
  <si>
    <t>VIGENCIA: 10 DE JUNIO 2024 AL 31 DE MAYO 2025</t>
  </si>
  <si>
    <t>01-11-016005-000-01</t>
  </si>
  <si>
    <t>Amor al 2x1</t>
  </si>
  <si>
    <t>SE ENVIARON PROPUESTAS PERO EL CLIENTE NO HA CONTESTADO</t>
  </si>
  <si>
    <t>COTIZACIÓN: 11</t>
  </si>
  <si>
    <t>Horizonte Films</t>
  </si>
  <si>
    <t>Bodas</t>
  </si>
  <si>
    <t>ESTEFAN MANDO E L COMPROBANTE DE PAGO EL 19 DE AGOSTO 2024</t>
  </si>
  <si>
    <t>PREPRODUCCIÓN: 15 DE JULIO AL 14 DE DICIEMBRE, RODAJE: DEL 30 DE SEPTIEMBRE AL 30 DE NOVIEMBRE,                                                                               POSTPRODUCCIÓN: 02 DE DICIEMBRE AL 13 DE DIEMBRE.</t>
  </si>
  <si>
    <t xml:space="preserve"> Cot: 12/ poliza:  DVEP-00015510</t>
  </si>
  <si>
    <t xml:space="preserve">Preproducción 15 de julio a 28 de septiembre 2024 
• Rodaje 30 de septiembre a 30 de noviembre 2024 
• Cierre 2 de diciembre a 14 de diciembre 2024 </t>
  </si>
  <si>
    <t xml:space="preserve"> Cot: 12/ poliza: DVEP-00015451</t>
  </si>
  <si>
    <t>EPLUSE FILMS</t>
  </si>
  <si>
    <t>Mejor Viuda que Mal Acompañada</t>
  </si>
  <si>
    <t xml:space="preserve">ENVIÓ COMPROBANTE DE PAGO EL 13 DE SEPTIEMBRE 2024 </t>
  </si>
  <si>
    <t>VIGENCIA: DEL 15 DE JULIO 2024 HASTA EL 15 DE JULIO 2029</t>
  </si>
  <si>
    <t xml:space="preserve"> PÓLIZA: 18105 30292638</t>
  </si>
  <si>
    <t xml:space="preserve">SEPTIEMBRE </t>
  </si>
  <si>
    <t>LOL 8  MEXICO Desarrollo</t>
  </si>
  <si>
    <t>Declararón el 28 de agosto 2024</t>
  </si>
  <si>
    <t>•	Preproducción: 8 julio 2024 – 25 agosto 2024
•	Rodaje: 26 agosto – 28 septiembre 2024
•	Cierre: 29 septiembre – 13 octubre 2024</t>
  </si>
  <si>
    <t xml:space="preserve"> PÓLIZA: DVEP/00015492</t>
  </si>
  <si>
    <t xml:space="preserve">TIS PRODUCTION </t>
  </si>
  <si>
    <t>La Partitura Secreta</t>
  </si>
  <si>
    <t>SE ENVÍO RECORDATORIO A VERONICA TAPIA EL DÍA 21 ENERO 2024</t>
  </si>
  <si>
    <t>White Owl</t>
  </si>
  <si>
    <t>NO SE REALIZÓ EL PAGO DE LA RENOVACIÓN Y SE VA CANCELAR.</t>
  </si>
  <si>
    <t xml:space="preserve">Endemos Shine </t>
  </si>
  <si>
    <t>La Casa de los Famosos T2</t>
  </si>
  <si>
    <t>Marvista</t>
  </si>
  <si>
    <t>PIXELANDIA POST</t>
  </si>
  <si>
    <t>Mujeres Asesinas 3</t>
  </si>
  <si>
    <t>Se envió el ultimo comprobante de pago el día 22 de octubre 2024</t>
  </si>
  <si>
    <t>RODAJE:  21 DE OCTUBRE AL 14 DE DICIEMBRE                  POST PRODUCCIÓN: 21 DE OCTUBRE AL 10 DE MAYO 2025</t>
  </si>
  <si>
    <t>Cotización: 16/ poliza: DVEP/00015689</t>
  </si>
  <si>
    <t>•Preproducción 23 de septiembre 2024
•Rodaje 02 de octubre 2024 a 14 de Diciembre 2024
•Cierre 15 de Diciembre 2024 a 11 Enero 2025</t>
  </si>
  <si>
    <t>Cotización: 16/ poliza:  DVEP/00015723</t>
  </si>
  <si>
    <t xml:space="preserve">LOL 8 MEXICO </t>
  </si>
  <si>
    <t>SE ENCUENTRAN EN DECLARACIONES DEL 27 DE SEPTIEMBRE 2024</t>
  </si>
  <si>
    <t xml:space="preserve">PREPRODUCCIÓN:  08/ 07/ 2024 AL  05/08/2024                                                          RODAJE: 26/08/2024 al 28/09/2024                                                   Y POST PRODUCCIÓN: 27/08/2024 al 02/05/2024 </t>
  </si>
  <si>
    <t xml:space="preserve"> PÓLIZA: DVED/00001984</t>
  </si>
  <si>
    <t>PÓLIZA: DVEP/00015514</t>
  </si>
  <si>
    <t>Guillermo Rodriguez Zamacona</t>
  </si>
  <si>
    <t>B-Room</t>
  </si>
  <si>
    <r>
      <rPr>
        <sz val="11"/>
        <color rgb="FF000000"/>
        <rFont val="Calibri"/>
        <family val="2"/>
        <scheme val="minor"/>
      </rPr>
      <t xml:space="preserve">SE ENVIARON COMPROBANTES DE PAGO SIN TENER QUE HACER DEVOLUCIÓN EL DÍA 15 DE AGOSTO 2024// </t>
    </r>
    <r>
      <rPr>
        <sz val="11"/>
        <color rgb="FFFF0000"/>
        <rFont val="Calibri"/>
        <family val="2"/>
        <scheme val="minor"/>
      </rPr>
      <t>REVISAR LA PRIMA NETA PORQUE EN LA POLIZA DE TODO RIESGO NO ES LA MISMA.</t>
    </r>
  </si>
  <si>
    <t>• Preproducción: 19 al 25 de Julio del 
2024
• Producción, Rodaje 26 al 28 de Julio del 
2024
• Finalización estimada de la 
copia master
31 de Octubre del 
2024</t>
  </si>
  <si>
    <t>PÓLIZA: 01-11-016852-000-01</t>
  </si>
  <si>
    <t>Se confirma que ya no sera necesario realizar la devolución por que ze aplicó al pago estó fue mandado: EL 15 DE AGOSTO 2024</t>
  </si>
  <si>
    <t>VIGENCIA: DEL 18 DE MAYO 2024 AL 18 DE MAYO 2025</t>
  </si>
  <si>
    <t>PÓLIZA: 1-01-005161-000-04_x000D_</t>
  </si>
  <si>
    <t>Empresarial</t>
  </si>
  <si>
    <t>Con esa Misma Mirada</t>
  </si>
  <si>
    <t>EL ULTIMO CORREO ROBERTO OCHOA, SUMO AL EQUIPO PARA QUE ENVIARAN LOS FORMATOS PARA COTIZAR DE VIX EL 26 DE JULIO 2024.</t>
  </si>
  <si>
    <t xml:space="preserve">Indicar fecha:	 29 DE ABRIL	 
Indicar fecha de montaje:	 20 DE MAYO EN FORO 	 
Indicar fecha de desmontaje:	 PENDIENTE	 
Indicar inicio y termino de 
rodaje:	 8 DE JULIO A 5 DE OCTUBRE 	 </t>
  </si>
  <si>
    <t>DVED/00001978</t>
  </si>
  <si>
    <t xml:space="preserve">Preproducción DEL 29 DE ABRIL AL 6 DE JULIO DE 2024 
Rodaje DEL 8 DE JULIO AL 5 DE OCTUBRE DE 2024 
Cierre DEL 7 AL 26 DE OCTUBRE DE 2024 </t>
  </si>
  <si>
    <t>DVEP/00015449</t>
  </si>
  <si>
    <t>Welcome To Necaxa</t>
  </si>
  <si>
    <t>SE ENVIARON LAS POLIZAS EL 29 DE JULIO 2024 Y ESE MISMO DÍA SE CONFIRMO.</t>
  </si>
  <si>
    <t>Preproducción: 05 de julio
· Producción, Rodaje 12-17 julio</t>
  </si>
  <si>
    <t xml:space="preserve">01-11-016634-000-01 </t>
  </si>
  <si>
    <t>Perras en Reserva</t>
  </si>
  <si>
    <t>no hay arpetas ni nos mandaron correo para cotizar.</t>
  </si>
  <si>
    <t>Comercial Andamio</t>
  </si>
  <si>
    <t>nunca nos enviaron el cuestionario para cotizarles.</t>
  </si>
  <si>
    <t>Berkkley</t>
  </si>
  <si>
    <t>La Corriente del Golfo</t>
  </si>
  <si>
    <t>Thin Green Line</t>
  </si>
  <si>
    <t>RESPONDÍO MARIA ARGUEDAS QUE ESPERA LA PROPUESTA DE RP 18 DEM SEPTIEMBRE 2024</t>
  </si>
  <si>
    <t>CIERRE</t>
  </si>
  <si>
    <r>
      <rPr>
        <sz val="11"/>
        <color rgb="FF000000"/>
        <rFont val="Calibri"/>
        <family val="2"/>
        <scheme val="minor"/>
      </rPr>
      <t xml:space="preserve">RODAJE:  18 DE SEPTIEMBRE 2024  AL 18 DE OCTUBRE                                                                             </t>
    </r>
    <r>
      <rPr>
        <sz val="11"/>
        <color rgb="FFFF0000"/>
        <rFont val="Calibri"/>
        <family val="2"/>
        <scheme val="minor"/>
      </rPr>
      <t>CIERRE: 11  DE NOVIEMBRE 2024 AL 28 DE MARZO 2025</t>
    </r>
  </si>
  <si>
    <t>COTIZACIÓN: 15 // PÓLIZA: DVEP/00015601</t>
  </si>
  <si>
    <t>LA VA PROPORCIONAR GALLAGER, SE REALIZÓ EL ACERCAMIENTO DEL CLIENTE Y PARTNER EL DÍA 18 DE SEPTIEMBRE 2024</t>
  </si>
  <si>
    <t>•	Preproducción: 23/07/24-17/09/24
•	Rodaje 18/09/24 – 18/10/24
•	Cierre 19/10/24– 28/03/25</t>
  </si>
  <si>
    <t>COTIZACIÓN 15// PÓLIZA:  DVEP/00015600</t>
  </si>
  <si>
    <t>SOLICITA PATRICIA A SERGIO QUE LA POLIZA TENGA ALGUNOS SELLOS COMO LAS DEL AÑO PASADO EL 02  DE SEPTIEMBRE 2024</t>
  </si>
  <si>
    <t>VIGENCIA: 30 DE JUNIO 2023 AL 30 DE JUNIO 2024</t>
  </si>
  <si>
    <t>01-11-011806-000-01</t>
  </si>
  <si>
    <t>Rubicon</t>
  </si>
  <si>
    <t>Se Busca</t>
  </si>
  <si>
    <t xml:space="preserve">SE ENVIÓ LA MANIFESTACIÓN POR PARTE DEL CLIENTE A RISKMEDIA EL DÍA 09/07/2024 </t>
  </si>
  <si>
    <t>VIGENCIA: 04 DE JULIO AL 11 DE MAYO 2025</t>
  </si>
  <si>
    <t xml:space="preserve"> 01-11-016445-000-01</t>
  </si>
  <si>
    <t>Chula Vista</t>
  </si>
  <si>
    <t>Materialist</t>
  </si>
  <si>
    <t>SE ENVIARON COMPLEMENTOS DE PAGO DEL 15 DE JULIO 2024.</t>
  </si>
  <si>
    <t>VIGENCIA: 25 JUNIO 2024 AL 25 JUNIO 2025</t>
  </si>
  <si>
    <t>01-11-016283-000-01</t>
  </si>
  <si>
    <t>Foro Iberoamericano</t>
  </si>
  <si>
    <t>El Inicio</t>
  </si>
  <si>
    <t>NO ESTOY COPIADO EN LA CADENA DE CORREOS</t>
  </si>
  <si>
    <t>VIGENCIA: 02 DE AGOSTO 2024 AL 30 DE ABRIL 2025</t>
  </si>
  <si>
    <t>01-11-016850-000-01</t>
  </si>
  <si>
    <t>Documental</t>
  </si>
  <si>
    <t>Todo Riesgo Operartivo (2023)</t>
  </si>
  <si>
    <t>NO ENCONTRE NINGUN CORREO ACERCA DE ESTO</t>
  </si>
  <si>
    <t>BRENDA DURAN</t>
  </si>
  <si>
    <t>E&amp;O CONNCIERTO</t>
  </si>
  <si>
    <t>SE LE ENVIARON LOS CUESTIONARIOS EL LUNES 26 DE AGOSTO 2024</t>
  </si>
  <si>
    <t>TL ENTERTAINMENT</t>
  </si>
  <si>
    <t>QUIERO MATAR A AMI ABUELO</t>
  </si>
  <si>
    <t>Rirskmedia</t>
  </si>
  <si>
    <t>Finding my Sugar Cougar</t>
  </si>
  <si>
    <t>Coruna Films</t>
  </si>
  <si>
    <t>Un Hombre a la Semana</t>
  </si>
  <si>
    <t>SE ENVIÓ EL PROTOCOLO PARA DECLARAR EL DÍA 07 DE NOVIEMBRE 2024</t>
  </si>
  <si>
    <t>COTIZACIÓN: 18 // PÓLIZA:  DVEP/00015742</t>
  </si>
  <si>
    <t>•Preproducción: 30 septiembre 2024- 9 noviembre 2024
•Rodaje: 11 noviembre 2024 – 14 diciembre 2024
•Cierre:16 – 21 diciembre 2024</t>
  </si>
  <si>
    <t>COTIZACIÓN: 18 // PÓLIZA:  DVEP/00015743</t>
  </si>
  <si>
    <t>Juan Ricardo Caceres</t>
  </si>
  <si>
    <t>Gastos Médicos Mayores</t>
  </si>
  <si>
    <t>SE REALIZARÓN LOS DOS ULTIMOS PAGOS Y SE DEJÓ DE PAGAR POR EL CLIENTE</t>
  </si>
  <si>
    <t>VIGENCIA: 12 DE ABRIL 2024 AL 12 DE ABRIL 2025</t>
  </si>
  <si>
    <t>2882400013326/0</t>
  </si>
  <si>
    <t>Gastos Médicos</t>
  </si>
  <si>
    <t>Diana Hernandez</t>
  </si>
  <si>
    <t>SI (DIANA)</t>
  </si>
  <si>
    <t>Seguros de Viajero Diversos</t>
  </si>
  <si>
    <t>Seguros de Viajero  Diversos</t>
  </si>
  <si>
    <t>ÚLTIMO RECORDATORIO DE PAGO EL 09/MAYO/2024</t>
  </si>
  <si>
    <t>PÓLIZA: 2882400013326/0</t>
  </si>
  <si>
    <t>Seguros de Viajero</t>
  </si>
  <si>
    <t>SI (GUILLERMO)</t>
  </si>
  <si>
    <t>Seguros de Gastos Médicos Temporal</t>
  </si>
  <si>
    <t>NO HAY CARPETA EN LOS FILES</t>
  </si>
  <si>
    <t>Fabula Proyectos</t>
  </si>
  <si>
    <t>Son In Law</t>
  </si>
  <si>
    <t>SE SOLICITÓ LOS CUESTIONARIOS MEDICOS  EL DÍA 18 DE SEPTIEMBRE 2024</t>
  </si>
  <si>
    <t>VIGENCIA: Desde las 12:00 horas 02/sep/2024
 hasta las 12:00 horas 01/nov/2024</t>
  </si>
  <si>
    <t>Póliza 18105 30292585</t>
  </si>
  <si>
    <t xml:space="preserve">Minerva Consulting </t>
  </si>
  <si>
    <t>Responsabilidad Civil General (2023)</t>
  </si>
  <si>
    <t>SE ENVIÓ FACTURA Y COMPROBANTE DE PAGO EL DÍA 11 DE OCTUBRE 2024</t>
  </si>
  <si>
    <t xml:space="preserve"> Vigencia:Del 13/OCT/2024 12:00 horas al 13/OCT/2025 12:00 hora</t>
  </si>
  <si>
    <t>Póliza: KB 44403643</t>
  </si>
  <si>
    <t>Responsabilidad Civil</t>
  </si>
  <si>
    <t>Esperanto Kino</t>
  </si>
  <si>
    <t>Campeon Gabacho</t>
  </si>
  <si>
    <t>ULTIMA REUNIÓN CON SINIESTROS EL DÍA 26 DE AGOSTO 2024</t>
  </si>
  <si>
    <t>VIGENCIA: 29 DE JULIO 2024 AL 31 DE JULIO 2025</t>
  </si>
  <si>
    <t>01-11-016734-000-01</t>
  </si>
  <si>
    <t>REDRUM 25</t>
  </si>
  <si>
    <t>Santuario</t>
  </si>
  <si>
    <t>FAVOR DE REVISAR LA PRIMA NETA NO COINCIDEN CON LA DEL EXCEL</t>
  </si>
  <si>
    <t>VIGENCIA DEL ENDOSO: 18/01/2025 A 01/07/2025</t>
  </si>
  <si>
    <t>DVEP/00015354- A0005/1</t>
  </si>
  <si>
    <t>COMUNICACIÓN TECNOLOGICA</t>
  </si>
  <si>
    <t>GMM JESUS NUBIOLA</t>
  </si>
  <si>
    <t>NO SE HA VUELTO A TOCAR EL TEMA, DESPUES DEL 10 DE OCTUBRE 2024</t>
  </si>
  <si>
    <t>AUDITORIA INMUEBLES 1ER PAGO (SERGIO)</t>
  </si>
  <si>
    <t>SE CONCLUYÓ AUDITORIA Y SE ENVIARÓN LOS REPORTES SEMIFINALES 03 DE DICIEMBRE 2024.</t>
  </si>
  <si>
    <t xml:space="preserve">SI (SERGIO) </t>
  </si>
  <si>
    <t>Hijo de Tigre</t>
  </si>
  <si>
    <t>SE SOLICITO EL LLENADO Y ACTUALIZACIÓN DEL WORKKES 25 SEP2024</t>
  </si>
  <si>
    <t>SE QUEDÓ PAUSADA LA CONFIRMACIÓN.</t>
  </si>
  <si>
    <t>Doble Vida de Jesus</t>
  </si>
  <si>
    <t>SE ENVIÓ RECORDATORIO DE LLENADO DE CUESTIONARIO 25 DE SEPTIEMBRE 2024</t>
  </si>
  <si>
    <t>Bad Hombre Studio</t>
  </si>
  <si>
    <t>Mi Mundo Mexicano</t>
  </si>
  <si>
    <t>SE CONFIRMO LA DECLARACIÓN DE DRONES EL 24 DE SEPTIEMBRE 2024</t>
  </si>
  <si>
    <t xml:space="preserve"> Preproducción: 12 AGOSTO 24 – 15 SEPTIEMBRE 24 (PRIMERA 
ETAPA)      
27 SEPTIEMBRE 24 - 10 NOVIEMBRE 24 
(SEGUNDA ETAPA) 
• Producción, Rodaje 16 AL 26 SEPTIEMBRE 24 (PRIMERA ETAPA) 
11 NOVIEMBRE 24 - 20 DICIEMBRE 24 (SEGUNDA 
ETAPA)   
• Finalización estimada de la 
copia master 
15 DE MARZO 2025 </t>
  </si>
  <si>
    <t>01-11-017226-000-01</t>
  </si>
  <si>
    <t>VIGENCIA: 11 DE SEOTIEMBRE 2024 AL 11 DE SEPTIEMBRE 2025</t>
  </si>
  <si>
    <t>01-05-017308-000-01</t>
  </si>
  <si>
    <t>FAVOR DE REVISAR LA PRIMA DE LA POLIZA CON LA PRIMA DEL EXCEL CREO QUE NO COINCIDEN</t>
  </si>
  <si>
    <t>VIGENCIA: 30 DE SEPTIEMBRE 2024 AL 30 DE SEPTIEMBRE 2025</t>
  </si>
  <si>
    <t xml:space="preserve"> 01-05-017750-000-01</t>
  </si>
  <si>
    <t>Responsabilidad Civil en Exceso</t>
  </si>
  <si>
    <t>BTF MEDIA</t>
  </si>
  <si>
    <t>FRIDA</t>
  </si>
  <si>
    <t>Actualmente no cuentan con aprobación del cliente para el proyecto, estó lo dijó ivonne el 13 de enero 2025</t>
  </si>
  <si>
    <t>VIGENCIA: 23 DE SEPTIEMBRE 2024 AL 14 DE MARZO 2026</t>
  </si>
  <si>
    <t>01-11-018340-000-01</t>
  </si>
  <si>
    <t>Disney / Gallaguer</t>
  </si>
  <si>
    <t>Las Aparicio</t>
  </si>
  <si>
    <t>Ocote</t>
  </si>
  <si>
    <t>SE MANDO A COTIZAR CON DANY RODRIGUEZ. Y SE LE SOLICITÓ LA AEMISIÓN A BERKLEY 21 ENERO 2025.</t>
  </si>
  <si>
    <t>Servicios y Proyectos Culturales</t>
  </si>
  <si>
    <t>Toda  una Vida</t>
  </si>
  <si>
    <t>NO SE REGRESARON LSO CUESTIONARIOS, ULTIMO CORREO EL DÍA 12 DE FEBRERO 2024</t>
  </si>
  <si>
    <t>CINEATE</t>
  </si>
  <si>
    <t>ENDOSO AMPLIACION LOST GIRL</t>
  </si>
  <si>
    <t>ULTIMO CORREO ENVIARON EL COMPROBANTE DE TRANSFERENCIA EL DÍA 29 DE AGOSTO 2024</t>
  </si>
  <si>
    <t>VIGENCIA: 28 DE JULIO 2024 AL 31 DE ENERO 2025</t>
  </si>
  <si>
    <t>POLIZA: 01-11-015426-004-01// ENDOSO: 04</t>
  </si>
  <si>
    <t>AUDITORIA INMUEBLES 2DO PAGO (LEZA)</t>
  </si>
  <si>
    <t>NO TENGO ACCESO A ESTA INFORMACCIÓN</t>
  </si>
  <si>
    <t>AUDITORIA INMUEBLES 2DO PAGO (SERGIO)</t>
  </si>
  <si>
    <t>NO TENGO ACCESO A ESTA INFORMACIÓN</t>
  </si>
  <si>
    <t>Block Media</t>
  </si>
  <si>
    <t>La Estetica de las Estrellas</t>
  </si>
  <si>
    <t>EL 26 DE DICIEMBRE 2024 SE ENVIÓ EL COMPROBANTE DE PAGO</t>
  </si>
  <si>
    <t xml:space="preserve">	Preproducción 23 de septiembre
	Rodaje 15 de octubre
	Cierre 16 de Octubre</t>
  </si>
  <si>
    <t>COTIZACIÓN: 17// PÓLIZA: DVEP/00015749</t>
  </si>
  <si>
    <t>Light Channel</t>
  </si>
  <si>
    <t>Mama ya es mi Casa</t>
  </si>
  <si>
    <t>14 DE OCTUBRE 2024, SE ENVÍO EL COMPLEMENTO DE PAGO</t>
  </si>
  <si>
    <t>•Preproducción: Agosto 2024
•Producción, 23,24, y25 de Septiembre
•Finalización estimada de la copia master.   Noviembre 2024.</t>
  </si>
  <si>
    <t>01-11-017329-000-01</t>
  </si>
  <si>
    <t>FN PRODUCCIONES</t>
  </si>
  <si>
    <t>Mal de Amores Póliza Primaria</t>
  </si>
  <si>
    <t>SE ENVIARON COMPROBANTES DE PAGO EL 21 DE NOVIEMBRE 2024</t>
  </si>
  <si>
    <t>Indicar inicio y termino de
rodaje:	Del 2 de diciembre de 2024 al 26 de abril de 2025
¿La edición se realizará a la par
del rodaje?	Si, inicia a partir de segunda semana de rodaje
Indicar inicio y termino de post
producción:	19 de diciembre de 2024 al 23 de mayo de 2026</t>
  </si>
  <si>
    <t xml:space="preserve"> DVEP/00015750</t>
  </si>
  <si>
    <t>Mal de Amores</t>
  </si>
  <si>
    <r>
      <rPr>
        <sz val="11"/>
        <color rgb="FF000000"/>
        <rFont val="Calibri"/>
        <family val="2"/>
        <scheme val="minor"/>
      </rPr>
      <t xml:space="preserve">SE PAGÓ EL 22 DE NOVIEMBRE 2024 </t>
    </r>
    <r>
      <rPr>
        <sz val="11"/>
        <color rgb="FFFF0000"/>
        <rFont val="Calibri"/>
        <family val="2"/>
        <scheme val="minor"/>
      </rPr>
      <t>(REVISAR PRIMA DEL EXCEL NO COINCIDE AL 100% CON EL DE LA PÓLIZA)</t>
    </r>
  </si>
  <si>
    <t xml:space="preserve">DVEP/00015878 </t>
  </si>
  <si>
    <t>Mal de Amores (03 - 23 de octubre)</t>
  </si>
  <si>
    <t>SE PAGÓ EL 18 DE DICIEMBRE 2024</t>
  </si>
  <si>
    <t>VIGENCIA:  03/10/2024 AL 23/10/2024</t>
  </si>
  <si>
    <t>DVEP/00015762</t>
  </si>
  <si>
    <t>Mal de Amores (Scouting)</t>
  </si>
  <si>
    <t>EL 27 DE SEPTIEMNBRE SE ENVIÓ A PROPUESTA CONLOS CAMBIOS SOLICITADOS A ENRIQUE</t>
  </si>
  <si>
    <t>VIGENCIA:  30/08/2024 AL 01/10/2024</t>
  </si>
  <si>
    <t xml:space="preserve"> DVEP/00015628</t>
  </si>
  <si>
    <t>Fotosintesis Media</t>
  </si>
  <si>
    <t>Mi Amigo el Sol (Escenas Adicionales)</t>
  </si>
  <si>
    <t>NO ESTOY EN LA CADENA</t>
  </si>
  <si>
    <t>VIGENCIA: 07 NOVIEMBRE 2024 AL 07 NOVIEMBRE 2025.</t>
  </si>
  <si>
    <t xml:space="preserve"> 01-11-017882-000-01</t>
  </si>
  <si>
    <t>Poseída</t>
  </si>
  <si>
    <t>ULTIMO CORREO DONDE SE SOLICITO POR PARTE DE SINIESTROS AGENDAR UNA VIDEOLLAMADA EL DÍA 25 DE NOVIEMBRE 2024</t>
  </si>
  <si>
    <t>VIGENCIA: DEL 06 NOVIEMBRE 2024 AL 31 DE JULIO 2024</t>
  </si>
  <si>
    <t>01-11-017984-000-01</t>
  </si>
  <si>
    <t>AERIAL</t>
  </si>
  <si>
    <t>SE ENVIARON POLIZAS EL DÍA 27 NOVIEMBRE 2024</t>
  </si>
  <si>
    <t>VIGENCIA: 2-12 DICIEMBRE 2024, 4-7 DE DICIEMBRE Y  4-8 DE DIEIEMBRE 2024</t>
  </si>
  <si>
    <t xml:space="preserve">2832400075400/0, 2832400075399/0, 2832400075390/0, 2832400075377/0,2832400075403/0, </t>
  </si>
  <si>
    <t>02/12/2024, 04/12/2024</t>
  </si>
  <si>
    <t>Mal de Amores Exceso 1</t>
  </si>
  <si>
    <t>NOS COMPARTIERON LOS COMPROBANTES DE PAGO EL 18 DE DICIEMBRE 2024</t>
  </si>
  <si>
    <t>VIGENCIA: 23/10/2024  AL 23/05/2025</t>
  </si>
  <si>
    <t xml:space="preserve"> RCIP/00001260</t>
  </si>
  <si>
    <t>Mal de Amores Exceso 2</t>
  </si>
  <si>
    <t>VIGENCIA: 23/10/2024 AL 23/05/2025</t>
  </si>
  <si>
    <t xml:space="preserve"> RCIP/00001261</t>
  </si>
  <si>
    <t>Flmpackage</t>
  </si>
  <si>
    <t>Mal de Amores Exceso 3</t>
  </si>
  <si>
    <t>RCIP/00001262</t>
  </si>
  <si>
    <t>RC FILMACIONES</t>
  </si>
  <si>
    <t>ÚLTIMO CORREO DONDE SE ENVIÓ AL CLIENTE EL COMPLEMENTO DE PAGO EL DÍA 06 DE ENERO 2025</t>
  </si>
  <si>
    <t>VIGENCIA: 02 DE DICIEMBRE 2024 AL 02 DE DICIEMBRE 2025</t>
  </si>
  <si>
    <t xml:space="preserve"> 01-11-018285-000-01</t>
  </si>
  <si>
    <t>OCOTE</t>
  </si>
  <si>
    <t>SE ENCIARON POLIZAS EL DÍA 27 DE DICIEMBRE 2024</t>
  </si>
  <si>
    <r>
      <rPr>
        <sz val="11"/>
        <color rgb="FFFF0000"/>
        <rFont val="Calibri"/>
        <family val="2"/>
        <scheme val="minor"/>
      </rPr>
      <t>RODAJE</t>
    </r>
    <r>
      <rPr>
        <sz val="11"/>
        <color rgb="FF000000"/>
        <rFont val="Calibri"/>
        <family val="2"/>
        <scheme val="minor"/>
      </rPr>
      <t xml:space="preserve">: Del 20 de enero 2025 al 27 de marzo 2025 (10 semanas) </t>
    </r>
    <r>
      <rPr>
        <sz val="11"/>
        <color rgb="FFFF0000"/>
        <rFont val="Calibri"/>
        <family val="2"/>
        <scheme val="minor"/>
      </rPr>
      <t>POSTPRODUCCIÓN: Del 20 de enero 2025 al 18 de agosto de 2025</t>
    </r>
  </si>
  <si>
    <t>01-11-018378-000-01</t>
  </si>
  <si>
    <t>NO CONFIRMO NADA HASTA TENER AUTORIZACIÓN</t>
  </si>
  <si>
    <t>Rompecabezas (Extension de Fechas)</t>
  </si>
  <si>
    <t>no han confirmado la extension</t>
  </si>
  <si>
    <t>MH FILMS</t>
  </si>
  <si>
    <t>SE ENCIARON POLIZAS EL DÍA 27 DE DICIEMBRE 2024 12 DE DICIEMBRE 2024</t>
  </si>
  <si>
    <t>VIGENCIA: 19 DE NOVIEMBRE 2024 AL 19 DE NOVIEMBRE 2025</t>
  </si>
  <si>
    <t>01-11-018265-000-01</t>
  </si>
  <si>
    <t>Amarte</t>
  </si>
  <si>
    <t>El 22 de enero 2025 se confirmo de recibido declaraciones.</t>
  </si>
  <si>
    <t>· Preproducción: 9-12-2024 al 19-01-2025
· Producción, Rodaje Pre-shoot: 9 y 10-1-2025 Fotografía principal: 20-1-2025 al 19-2-2025
· Finalización estimada de la
copia master
Diciembre 2025</t>
  </si>
  <si>
    <t>01-11-018463-000-01</t>
  </si>
  <si>
    <t>Papa Soltero</t>
  </si>
  <si>
    <t>NO AVANZARÓN CON EL SEGURO YA QUE SOLO FUE UNA SEMANA.</t>
  </si>
  <si>
    <t>Escenas Adicionales</t>
  </si>
  <si>
    <t>NO TENGO NINGUNA INFORMACIÓN SOBRE ESTE TEMA:</t>
  </si>
  <si>
    <t>CHUBB SEGUROS</t>
  </si>
  <si>
    <t>Nota de Crédito (Facturación 2023)</t>
  </si>
  <si>
    <t>RAMO</t>
  </si>
  <si>
    <t>VENDEDOR (Negocio entrante)</t>
  </si>
  <si>
    <t>AGENTE</t>
  </si>
  <si>
    <t>CUENTA FORECAST</t>
  </si>
  <si>
    <t>Autos Diversos</t>
  </si>
  <si>
    <t>DIVERSOS MX</t>
  </si>
  <si>
    <t>Autos</t>
  </si>
  <si>
    <t>RISKMEDIA</t>
  </si>
  <si>
    <t>RISKMEDIA MEXICO, SEGUROS S.A. DE C.V.</t>
  </si>
  <si>
    <t>NA</t>
  </si>
  <si>
    <t>ANIMADO CHULEL</t>
  </si>
  <si>
    <t>Vigencia: 06 de diciembre 2025 al 06 de diciembre 2025</t>
  </si>
  <si>
    <t>01-11-018323-000-01</t>
  </si>
  <si>
    <t>PARTNER LOCAL</t>
  </si>
  <si>
    <t>18105 30297125</t>
  </si>
  <si>
    <t>Rompecabezas endoso A</t>
  </si>
  <si>
    <t>DVOEP/00015599 // ENDOSO: A0005/4</t>
  </si>
  <si>
    <t>Póliza Equipo 01 enero - 15 de abril</t>
  </si>
  <si>
    <t>Póliza Equipo 01 enero - 15 de febrero</t>
  </si>
  <si>
    <t>Póliza Equipo 03 febrero - 15 de abril</t>
  </si>
  <si>
    <t>01-05-018760-000-01</t>
  </si>
  <si>
    <t>Sin Decir Adios</t>
  </si>
  <si>
    <t>01-11-018581-000-01</t>
  </si>
  <si>
    <t>Maquinaria de Animación</t>
  </si>
  <si>
    <t>Malena Melena</t>
  </si>
  <si>
    <t>01-11-018462-000-01</t>
  </si>
  <si>
    <t>Producciones PP México</t>
  </si>
  <si>
    <t>Pan y Circo T2</t>
  </si>
  <si>
    <t>POST-PRODUCCIÓN (ya se enviaron creditos)</t>
  </si>
  <si>
    <t>DVEP/00016029</t>
  </si>
  <si>
    <t>Programa Amazon</t>
  </si>
  <si>
    <t>Gallaguer</t>
  </si>
  <si>
    <t>SI (GALLAGHER)</t>
  </si>
  <si>
    <t>Amazon // Gallagher</t>
  </si>
  <si>
    <t>DVEP/00016033</t>
  </si>
  <si>
    <t>Riesgos Profesionales Amazon</t>
  </si>
  <si>
    <t>Endemol Shine Boomdog</t>
  </si>
  <si>
    <t>Lo Tomas o lo Dejas</t>
  </si>
  <si>
    <t>DESP/00000006</t>
  </si>
  <si>
    <t>DESP/00000005</t>
  </si>
  <si>
    <t>Riesgos Profesionales VIX</t>
  </si>
  <si>
    <t>The Immigrant</t>
  </si>
  <si>
    <t>POST-PRODUCCIÓN (NA)</t>
  </si>
  <si>
    <t>01-11-019292-000-01</t>
  </si>
  <si>
    <t>El Rey de los Machos</t>
  </si>
  <si>
    <t>18105 30296251</t>
  </si>
  <si>
    <t xml:space="preserve">DVEP/00015741 </t>
  </si>
  <si>
    <t>Programa Paramount</t>
  </si>
  <si>
    <t>HUB</t>
  </si>
  <si>
    <t>DVEP/00015736</t>
  </si>
  <si>
    <t>Riesgos Profesionales Paramount</t>
  </si>
  <si>
    <t>COTIZACIÓN: 17// PÓLIZA: DVEP/00015778</t>
  </si>
  <si>
    <t>Fabula</t>
  </si>
  <si>
    <t>01-05-018362-000-01</t>
  </si>
  <si>
    <t>Regular Slice</t>
  </si>
  <si>
    <t>La Caída del Mayo</t>
  </si>
  <si>
    <t>01-11-018964-000-01</t>
  </si>
  <si>
    <t>01-05-018962-000-01</t>
  </si>
  <si>
    <t>Los Corruptores</t>
  </si>
  <si>
    <t>01-11-019367-000-01</t>
  </si>
  <si>
    <t>Arena Esports gg</t>
  </si>
  <si>
    <t>MTV JOYSTICKEROS</t>
  </si>
  <si>
    <t>RODAJE: 20 de febrero al 19 de agosto 2025,                                          POST-PRODUCCIÓN: 21 de feberero al 26 de agosto 2025.</t>
  </si>
  <si>
    <t>RODAJE</t>
  </si>
  <si>
    <t xml:space="preserve">Carta cobertura: DAN-0001/2025
</t>
  </si>
  <si>
    <t xml:space="preserve">EN PROCESO DE EMISION </t>
  </si>
  <si>
    <t>•Preproducción: Enero 1 – 2025 – Febrero 12 2025
•Rodaje: Febrero 20 2025 – Agosto 19 2025
•Cierre: 26 Agosto 2026</t>
  </si>
  <si>
    <t>Grupo modelo 100</t>
  </si>
  <si>
    <t xml:space="preserve">MH FILMS </t>
  </si>
  <si>
    <t>Comercial Kavak</t>
  </si>
  <si>
    <t>PMS Audiovisual México</t>
  </si>
  <si>
    <t>Papas Por Encargo</t>
  </si>
  <si>
    <t xml:space="preserve">PMS Audiovisual México </t>
  </si>
  <si>
    <t>L-POP S1 &amp; S2</t>
  </si>
  <si>
    <t>NOREVO MEXICO, S.A. DE C.V.</t>
  </si>
  <si>
    <t>PAQUETE EMPRESARIAL</t>
  </si>
  <si>
    <t>18105 30297820</t>
  </si>
  <si>
    <t>El Conquistador</t>
  </si>
  <si>
    <t>DESP/00000001</t>
  </si>
  <si>
    <t>DESP/00000002</t>
  </si>
  <si>
    <t>Amazing Films</t>
  </si>
  <si>
    <t>Cocina Fusion</t>
  </si>
  <si>
    <t>01-11-019419-000-01</t>
  </si>
  <si>
    <t>FOX</t>
  </si>
  <si>
    <t>Gallagher</t>
  </si>
  <si>
    <t>PS BY LEMON S.A. DE C.V.</t>
  </si>
  <si>
    <t>Los azules</t>
  </si>
  <si>
    <t>Las Azules (Días de Scouting)</t>
  </si>
  <si>
    <t>OCOTE (Aumento de Sublìmite)</t>
  </si>
  <si>
    <t>01-11-018378-003-01 // ENDOSO: 003</t>
  </si>
  <si>
    <t>Norevo México</t>
  </si>
  <si>
    <t>Seguro de Transportes</t>
  </si>
  <si>
    <t>Transporte</t>
  </si>
  <si>
    <t>Prime Harvest</t>
  </si>
  <si>
    <t>Seguros transporte</t>
  </si>
  <si>
    <t>Victor Shuchleib</t>
  </si>
  <si>
    <t>Grupo UBK Lourdes</t>
  </si>
  <si>
    <t>TLST MÉXICO</t>
  </si>
  <si>
    <t>Piensa rapido</t>
  </si>
  <si>
    <t>Programa vix</t>
  </si>
  <si>
    <t>PRODUZINE PLETORIANA</t>
  </si>
  <si>
    <t>ARIZMENDI/ ARZ</t>
  </si>
  <si>
    <t xml:space="preserve">UNA CHICA TRISTE </t>
  </si>
  <si>
    <t>Ni Idea Entretenimiento</t>
  </si>
  <si>
    <t>Microcontenidos</t>
  </si>
  <si>
    <t>TRZ Comunicación</t>
  </si>
  <si>
    <t>Amarte (Aumento de Presupuesto)</t>
  </si>
  <si>
    <t>Mujeres Asesinas (Reshoot)</t>
  </si>
  <si>
    <t>CHUBB EUA</t>
  </si>
  <si>
    <t>Responsabilidad Civil General</t>
  </si>
  <si>
    <t>Break The Format</t>
  </si>
  <si>
    <t>Frida</t>
  </si>
  <si>
    <t>Señoras Mal</t>
  </si>
  <si>
    <t>POLIZA EQUIPOS KAZA BLUME</t>
  </si>
  <si>
    <t>ABTO</t>
  </si>
  <si>
    <t>A Billion To One (Extension Filmación)</t>
  </si>
  <si>
    <t>A Billion To One (Extension Riesgos Profesionales)</t>
  </si>
  <si>
    <t>A Billion To One (Extension Filmación Escenas Adicionales)</t>
  </si>
  <si>
    <t>LMB Diablos vs Oaxaca Contrato</t>
  </si>
  <si>
    <t>Trastevere</t>
  </si>
  <si>
    <t>Par de ideotas</t>
  </si>
  <si>
    <t>Audiovisuales Media Pro México</t>
  </si>
  <si>
    <t>Gastos Médicos BUPA Mónica Rocío Parra Menchaca</t>
  </si>
  <si>
    <t xml:space="preserve">Gastos Médicos </t>
  </si>
  <si>
    <t>Gastos Médicos BUPA Claudia García</t>
  </si>
  <si>
    <t>Gastos Médicos BUPA Jaime Oliver Pinacho</t>
  </si>
  <si>
    <t>Gastos Médicos BUPA Cesar Laguna Quintero</t>
  </si>
  <si>
    <t>Gastos Médicos Mapfre Oscar Rojas</t>
  </si>
  <si>
    <t xml:space="preserve">Gastos Médicos Mapfre Marco Antonio Jaime </t>
  </si>
  <si>
    <t>VIDA</t>
  </si>
  <si>
    <t>ACCIDENTES PERSONALES</t>
  </si>
  <si>
    <t>Archipielago</t>
  </si>
  <si>
    <t>LUX RACKET SPORTS, SL CAPITAL</t>
  </si>
  <si>
    <t>FANDROID MEXICO</t>
  </si>
  <si>
    <t>Responsabilidad  Civil General</t>
  </si>
  <si>
    <t>Ñusta</t>
  </si>
  <si>
    <t>Taller de Cine TCM</t>
  </si>
  <si>
    <t>Póliza Stock fijo</t>
  </si>
  <si>
    <t>Endoso A</t>
  </si>
  <si>
    <t>Equipos</t>
  </si>
  <si>
    <t>Alazraki Films</t>
  </si>
  <si>
    <t>Proyecto Bodas</t>
  </si>
  <si>
    <t>En espera ?</t>
  </si>
  <si>
    <t>Thr3 MEDIA</t>
  </si>
  <si>
    <t>Pobre Familia Rica</t>
  </si>
  <si>
    <t>En espera Dic 2022</t>
  </si>
  <si>
    <t>Valentino</t>
  </si>
  <si>
    <t>Mal de Ojo</t>
  </si>
  <si>
    <t>En espera Nov 2022</t>
  </si>
  <si>
    <t>La Cotorrisa</t>
  </si>
  <si>
    <t>Pedro F</t>
  </si>
  <si>
    <t>Freddy Larios</t>
  </si>
  <si>
    <t xml:space="preserve">La Noche del Diablito </t>
  </si>
  <si>
    <t>Reduccion de decucible PGJ</t>
  </si>
  <si>
    <t>0908401</t>
  </si>
  <si>
    <t xml:space="preserve">EN PROCESO DE EMISIÓN </t>
  </si>
  <si>
    <t>VISCERAL SPV4</t>
  </si>
  <si>
    <t>THEY CAME AT NIGHT</t>
  </si>
  <si>
    <t>LOS AZULES</t>
  </si>
  <si>
    <t xml:space="preserve">EN PROCESO DE COTIZACION </t>
  </si>
  <si>
    <t>Comercial-  SUBURBIA BACK TO SCHOOL</t>
  </si>
  <si>
    <t>Comercial- SURA ADULTOS ANÓNIMOS</t>
  </si>
  <si>
    <t>Mediapro (filiales: audiovisuales mediapro, comunicación tecnologica tv y comunicación tecnologica s.de r.l. de c.v.)</t>
  </si>
  <si>
    <t>FIANZA METROBUS</t>
  </si>
  <si>
    <t>Autoliiabiliity</t>
  </si>
  <si>
    <t>Nadie nos va  Extrañar S2</t>
  </si>
  <si>
    <t>FANDROID MÉXICO</t>
  </si>
  <si>
    <t>Riesgos profesionales VIX</t>
  </si>
  <si>
    <t>Provoca el Futuro</t>
  </si>
  <si>
    <t>El Negro</t>
  </si>
  <si>
    <t>La Venta</t>
  </si>
  <si>
    <t>Parametricos</t>
  </si>
  <si>
    <t>Jaguar Bite &amp; Charro Negro</t>
  </si>
  <si>
    <t>Barreda Luna Guillermo</t>
  </si>
  <si>
    <t>Extensión de Vigencia Proyecto Alters</t>
  </si>
  <si>
    <t>COMERCIALES ANUAL</t>
  </si>
  <si>
    <t>01-11-020064-0000-01</t>
  </si>
  <si>
    <t>Vigencia: 01 de enero al 15 de abril 2025</t>
  </si>
  <si>
    <t>Vigencia: 01 de enero al 15 de febrero 2025</t>
  </si>
  <si>
    <t>01-11-020067-0000-01</t>
  </si>
  <si>
    <t>01-11-020078-0000-01</t>
  </si>
  <si>
    <t>Vigencia: 03 de febrero al 15 de abril 2025</t>
  </si>
  <si>
    <t>Vigencia:  del  15 de diciembre al 18 de enero 2025</t>
  </si>
  <si>
    <t>Vigencia: 06 de diciembre 2024 al 06 de diciembre 2025.</t>
  </si>
  <si>
    <t>Punto rojo punto azul</t>
  </si>
  <si>
    <t>Vigencia: 10 de junio al 31 de mayo 2025</t>
  </si>
  <si>
    <t xml:space="preserve">NA </t>
  </si>
  <si>
    <t>Vigencia: 16 de diciembre del 2024 al 18 de agosto 2025</t>
  </si>
  <si>
    <t>Trz estudios</t>
  </si>
  <si>
    <t>DVEP/00016346</t>
  </si>
  <si>
    <t>DVEP/00016345</t>
  </si>
  <si>
    <t>Vigencia: 02 de diciembre 2024 AL 02 de diciembre 2025</t>
  </si>
  <si>
    <t>Vigencia: 19 de noviembre2024 al 19 de noviembre 2025</t>
  </si>
  <si>
    <t>18105 30298482</t>
  </si>
  <si>
    <t xml:space="preserve">18105 30298598 </t>
  </si>
  <si>
    <t>18105 30299445</t>
  </si>
  <si>
    <t xml:space="preserve">01-11-019899-0000-01 </t>
  </si>
  <si>
    <t>DESP/00000013</t>
  </si>
  <si>
    <t>DESP/00000012</t>
  </si>
  <si>
    <t>DESP/00000008 cot:3</t>
  </si>
  <si>
    <t>DESP/00000009  cot:3</t>
  </si>
  <si>
    <t>TRES TRISTES CHICAS</t>
  </si>
  <si>
    <t xml:space="preserve">18105 30297848 </t>
  </si>
  <si>
    <t>DESP/00000011</t>
  </si>
  <si>
    <t xml:space="preserve">DESP/00000010 </t>
  </si>
  <si>
    <t>Vigencia: 24 de enero al 31 de diciembre 2025.</t>
  </si>
  <si>
    <t>01-11-018463-002-01 endoso: 002</t>
  </si>
  <si>
    <t>DESP/00000003</t>
  </si>
  <si>
    <t>Vigencia: 11 de febrero 2025 al 15 de febrero 2025</t>
  </si>
  <si>
    <t>Vigencia: 18 de marzo 2025 al 18 de marzo 2026</t>
  </si>
  <si>
    <t>01-05-014979-000-02</t>
  </si>
  <si>
    <t>Vigencia: 02 mayo 2025 al 17 de julio 2025</t>
  </si>
  <si>
    <t>01-11-020049-0000-01</t>
  </si>
  <si>
    <t>01-01-005161-0000-06</t>
  </si>
  <si>
    <t xml:space="preserve">El Estudio </t>
  </si>
  <si>
    <t>PAGADA POR EL ASEGURADO</t>
  </si>
  <si>
    <t>PREVISION DE INGRESO EN CUENTA RISKMEDIA</t>
  </si>
  <si>
    <t>POST (CREDITOS ENVIADOS)</t>
  </si>
  <si>
    <t>Vigencia: 16 de febrero al 16 de julio 2025</t>
  </si>
  <si>
    <t>DVEP/00015001 endoso: A0005/11</t>
  </si>
  <si>
    <t>DVEP/00016048</t>
  </si>
  <si>
    <t>01-11-011728-0000-03</t>
  </si>
  <si>
    <t>Filmpackage Comerciales</t>
  </si>
  <si>
    <t>DESP/00000015</t>
  </si>
  <si>
    <t>POST (ENVIADOS)</t>
  </si>
  <si>
    <t>DESP/00000014</t>
  </si>
  <si>
    <t>La oficina (property)</t>
  </si>
  <si>
    <t xml:space="preserve">ALAZRAKI ENTERTAINMENT </t>
  </si>
  <si>
    <t>Vigencia: 20 de mayo 2025 al 25 de diciembre 2025.</t>
  </si>
  <si>
    <t>01-11-020285-0000-01</t>
  </si>
  <si>
    <t>18105 30299178</t>
  </si>
  <si>
    <t>18105 30299178 Endoso: 30296242</t>
  </si>
  <si>
    <t>01-11-020396-0000-01</t>
  </si>
  <si>
    <t>Póliza equipos Arri Máxima</t>
  </si>
  <si>
    <t>Vigencia: 31 de mayo 2025 al 31 de diciembre 2025</t>
  </si>
  <si>
    <t>01-11-014917-0003-01</t>
  </si>
  <si>
    <t>TVG</t>
  </si>
  <si>
    <t xml:space="preserve">Declaraciones de la poliza </t>
  </si>
  <si>
    <t>Mal de amores Nueva  Extensión RP al 23/05/2026</t>
  </si>
  <si>
    <t>STATUS DE LA PRODUCCIÓN (CRÉDITOS)</t>
  </si>
  <si>
    <t>Vigencia: 30 de dciembre 2024 al 30 de diciembre 2025.</t>
  </si>
  <si>
    <t>01-05-018451-000-01</t>
  </si>
  <si>
    <t>NPS50D17C10PE-25-979356-MEX</t>
  </si>
  <si>
    <t>NPS50D14C10PE-25-969061-
MEX</t>
  </si>
  <si>
    <t>NPS50D17C10PE-25-969439-MEX</t>
  </si>
  <si>
    <t>SALUD</t>
  </si>
  <si>
    <t>LITTLE CAESARS LA CREME DE</t>
  </si>
  <si>
    <t>Vigencia: 17 de junio 2025 al 27 de junio 2025</t>
  </si>
  <si>
    <t>AMAZON PRIME ENVÍOS GRATIS</t>
  </si>
  <si>
    <t>SUBURBIA MID SEASON + VACACIONES</t>
  </si>
  <si>
    <t>SUBURBIA NUEVA TEMPORADA</t>
  </si>
  <si>
    <t>Vigencia: 16 de julio al 17 de agosto 2025</t>
  </si>
  <si>
    <t>JUAN PABLO OMAÑA OJEDA</t>
  </si>
  <si>
    <t>Whisky Content SC</t>
  </si>
  <si>
    <t>NPS50D17C10PE-25-969137-
MEX-W</t>
  </si>
  <si>
    <t>2882400009327/1</t>
  </si>
  <si>
    <t>2882300005630/2</t>
  </si>
  <si>
    <t>Jesus Nubiola BUPA</t>
  </si>
  <si>
    <t>FAMILIA A LA DERIVA E&amp;O</t>
  </si>
  <si>
    <t>Accidentes Personas // Seguros de Viajero</t>
  </si>
  <si>
    <t>Panorama Entertainment</t>
  </si>
  <si>
    <t>Rosario Tijeas</t>
  </si>
  <si>
    <t>Summer of 94</t>
  </si>
  <si>
    <t>Filmpakage</t>
  </si>
  <si>
    <t xml:space="preserve">Riskmedia // VIX </t>
  </si>
  <si>
    <t>VIX // Gallagher</t>
  </si>
  <si>
    <t>Riskmedia // Amazon</t>
  </si>
  <si>
    <t>Riskmedia // HUB</t>
  </si>
  <si>
    <t>Riskmedia // Paramount</t>
  </si>
  <si>
    <t>Inedita films</t>
  </si>
  <si>
    <t xml:space="preserve">JULIO </t>
  </si>
  <si>
    <t>THR3 Media</t>
  </si>
  <si>
    <t>E&amp;O los colorado</t>
  </si>
  <si>
    <t>DOCUMENTAL</t>
  </si>
  <si>
    <t>AIR (Brokér)</t>
  </si>
  <si>
    <t>No seguir.</t>
  </si>
  <si>
    <t>40 &amp; 20  temporada 13 y 14</t>
  </si>
  <si>
    <t>Renovación comerciales.</t>
  </si>
  <si>
    <t>Riskmedia / Sergio / HUB</t>
  </si>
  <si>
    <t>Riskmedia / HUB</t>
  </si>
  <si>
    <t>Amazon HUB</t>
  </si>
  <si>
    <t>DVEP-14805</t>
  </si>
  <si>
    <t>DVEP-14802</t>
  </si>
  <si>
    <t>DVED/1897</t>
  </si>
  <si>
    <t>DVED/1896</t>
  </si>
  <si>
    <t>DVEP-14749</t>
  </si>
  <si>
    <t>Cine visuals LLC</t>
  </si>
  <si>
    <t>01-11-020950-000-01</t>
  </si>
  <si>
    <t>CONEJO MEDIA S.A. DE C.V.</t>
  </si>
  <si>
    <t>Dorangel (disney)</t>
  </si>
  <si>
    <t>VIGENCIA DE LA PÓLIZA</t>
  </si>
  <si>
    <t>Vigencia: 06 de diciembre 2024 al 06 de diciembre 2025</t>
  </si>
  <si>
    <t>Vigencia: 06 de marzo al 20 de junio 2025</t>
  </si>
  <si>
    <t>Vigencia: 23 de diciembre 2024 al 23 de diciembre 2025</t>
  </si>
  <si>
    <t>Vigencia: 14 de marzo 2025 al 21 de marzo 2026</t>
  </si>
  <si>
    <t>ANONIMO TV</t>
  </si>
  <si>
    <t>28390 - 0</t>
  </si>
  <si>
    <t>LA NOCHE INFINITA EFICINE</t>
  </si>
  <si>
    <t xml:space="preserve"> Películas Extrañas </t>
  </si>
  <si>
    <t>DOCUMENTAL HISTÓRICO</t>
  </si>
  <si>
    <t>18105 30300237</t>
  </si>
  <si>
    <t>01-11-020731-0000-01</t>
  </si>
  <si>
    <t>Vigencia: 17 de junio 2025 al 21 de junio 2025</t>
  </si>
  <si>
    <t>Enviado</t>
  </si>
  <si>
    <t>Se le envió respuesta a lourdes, esperar a que contesten, seguir con daniel dagnino.</t>
  </si>
  <si>
    <t>Pendiente</t>
  </si>
  <si>
    <t>cerrado</t>
  </si>
  <si>
    <t>LA NETFLIX LO VALE</t>
  </si>
  <si>
    <t>NETFLIX MERLINA t2</t>
  </si>
  <si>
    <t>Vigencia: 23 de junio 2025 al 30 de noviembre 2025</t>
  </si>
  <si>
    <t>Vigencia: 29 de enero 2025 al 11 de marzo 2025</t>
  </si>
  <si>
    <t>Vigencia: 16 de octubre 2024 al 16 de octubre 2025.</t>
  </si>
  <si>
    <t>Vigencia: 16 de octubre al 31 de mayo 2025</t>
  </si>
  <si>
    <t>Vigencia: 23 de septiembre 2024 al 23 de septiembre 2025</t>
  </si>
  <si>
    <t>Vigencia: del 23 de septiembre 2024 al 16 de cotubre 2024.</t>
  </si>
  <si>
    <t>Vigencia: 21 de mayo 2025 al 31 de mayo 2025</t>
  </si>
  <si>
    <t>Vigencia: 14 de mayo 2025 al 13 de junio 2025</t>
  </si>
  <si>
    <t>Vigencia: 07 de marzo 2025 al 09 de marzo 2025</t>
  </si>
  <si>
    <t>Vigencia: 14 de arzo 2025 al 25 de marzo 2025.</t>
  </si>
  <si>
    <t>Vigencia: 06 de mayo 2025 al 28 de mayo 2025</t>
  </si>
  <si>
    <t>Vigencia: 14 de febrero 2025 al 24 de febrero 2025.</t>
  </si>
  <si>
    <t>Vigencia: 21 de julio 2025 al 04 de agosto 2025</t>
  </si>
  <si>
    <t xml:space="preserve">Vigencia: 12 de marzo  2025 al 15 de amrzo 2025 </t>
  </si>
  <si>
    <t>Vigencia:21 de julio 2025 al 16 de septiembre 2025</t>
  </si>
  <si>
    <t>18105 30290694</t>
  </si>
  <si>
    <t>Vigencia: 16 de enero 2025 al 16 de mayo 2025</t>
  </si>
  <si>
    <t>Vigencia: 23 de abril 2025 al 27 de julio 2025</t>
  </si>
  <si>
    <t>Vigencia: 02 de abril 2025 al 18 de junio 2025</t>
  </si>
  <si>
    <t>ENVIADOS</t>
  </si>
  <si>
    <t>Vigencia: 31 de marzo 2025 al 03 de mayo 2025</t>
  </si>
  <si>
    <t>RODAJE (Enviar créditos)</t>
  </si>
  <si>
    <t>DVEP/00016048 endoso: A0005/1</t>
  </si>
  <si>
    <t>Vigencia: 16 de junio 2025 al 31 de julio 2025</t>
  </si>
  <si>
    <t>NPS50D17C10-25-995271-MEX</t>
  </si>
  <si>
    <t>Vigencia: 15 de Marzo 2025 al 15 de diciembre 2025</t>
  </si>
  <si>
    <t>Vigencia: 14 de junio 2026 al 14 de diciembre 2025</t>
  </si>
  <si>
    <t>Nos contesto Abel el 24 de julio que por ahora con las cotizaciones que les enviamos estan bien ellos.</t>
  </si>
  <si>
    <t>Vigencia: 19 de junio 2025 al 05 de diciembre 2025</t>
  </si>
  <si>
    <t>01-11-011806-0000-03</t>
  </si>
  <si>
    <t>Vigencia: 30 de junio 2025 al 30 de junio 2026</t>
  </si>
  <si>
    <t>MINERVA MÉXICO</t>
  </si>
  <si>
    <t>Renovación RC</t>
  </si>
  <si>
    <t>KB 44403643</t>
  </si>
  <si>
    <t>Vigencia: 13 de octubre 2024 al 13 de octubre 2025</t>
  </si>
  <si>
    <t>SHARK TANK CREATORS</t>
  </si>
  <si>
    <t>Casado con 3 hijos</t>
  </si>
  <si>
    <t>01-11-021525-000-01</t>
  </si>
  <si>
    <t>Vigencia: 29 de juilo 2025 al 01 de agosto 2025</t>
  </si>
  <si>
    <t>ENVIAR CRÉDITOS</t>
  </si>
  <si>
    <t>9 days to chrismas (INSURANCE POLICY)</t>
  </si>
  <si>
    <t>CONTENIDOS Hemisfericos</t>
  </si>
  <si>
    <t>Equipos de Cinematografico</t>
  </si>
  <si>
    <t>Trailer dora la exploradora</t>
  </si>
  <si>
    <t>MANGO</t>
  </si>
  <si>
    <t>Servicios de Postproducción (E&amp;O)</t>
  </si>
  <si>
    <t xml:space="preserve">RISKMEDIA </t>
  </si>
  <si>
    <t>General Liability Policy Renewal 2025 (RC General)</t>
  </si>
  <si>
    <t>RXJ004120300</t>
  </si>
  <si>
    <t>Vigencia: 01 de julio 2024 al 01 de julio 2025</t>
  </si>
  <si>
    <t>PÓLIZA INTERNACIONAL TODO RIESGO</t>
  </si>
  <si>
    <t>UNTITLED FILMS</t>
  </si>
  <si>
    <t>RC y Equipo evento en vivo</t>
  </si>
  <si>
    <t>18105 30300585</t>
  </si>
  <si>
    <t>Vigencia: 11 de julio 2025 al 19 de julio 2025</t>
  </si>
  <si>
    <t>TOCO MADERA</t>
  </si>
  <si>
    <t>18105 30300656</t>
  </si>
  <si>
    <t>Vigencia: 10 de julio 2025 al 05 de septiembre 2025</t>
  </si>
  <si>
    <t>TODO RIESGO OPERATIVO</t>
  </si>
  <si>
    <t>x</t>
  </si>
  <si>
    <t>Vigencia: 04 de febrero 2025 al 18 de agosto 2025.</t>
  </si>
  <si>
    <t>ALFREDO FERNANDEZ CORNEJO</t>
  </si>
  <si>
    <t>POST-PRODUCCIÓN (ENVIADOS)</t>
  </si>
  <si>
    <t>La hija del rey</t>
  </si>
  <si>
    <t>Vigencia: 21 de marzo 2025 al 07 de septiembre 2025</t>
  </si>
  <si>
    <t xml:space="preserve"> BAMBA FILMS S.A. DE C.V. </t>
  </si>
  <si>
    <t>Pelea Canelo</t>
  </si>
  <si>
    <t>VIDAS EJEMPLARES</t>
  </si>
  <si>
    <t>PROYECTO AUDIBLE</t>
  </si>
  <si>
    <t>No seguir</t>
  </si>
  <si>
    <t>01-01-021080-0000-01</t>
  </si>
  <si>
    <t>Vigencia: 15 de julio 2025 al 11 de octubre 2025</t>
  </si>
  <si>
    <t>DESP/00000016</t>
  </si>
  <si>
    <r>
      <rPr>
        <b/>
        <sz val="11"/>
        <color theme="1"/>
        <rFont val="Calibri"/>
        <family val="2"/>
        <scheme val="minor"/>
      </rPr>
      <t>PREPRODUCCIÓN</t>
    </r>
    <r>
      <rPr>
        <sz val="11"/>
        <color theme="1"/>
        <rFont val="Calibri"/>
        <family val="2"/>
        <scheme val="minor"/>
      </rPr>
      <t xml:space="preserve">: 30 SEPTIEMBRE-09 NOVIEMBRE DEL 2024,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>RODAJE:</t>
    </r>
    <r>
      <rPr>
        <sz val="11"/>
        <color theme="1"/>
        <rFont val="Calibri"/>
        <family val="2"/>
        <scheme val="minor"/>
      </rPr>
      <t xml:space="preserve"> 11 NOVIEMBRE 2024 - 14 DICIEMBRE 2024                     </t>
    </r>
    <r>
      <rPr>
        <b/>
        <sz val="11"/>
        <color theme="1"/>
        <rFont val="Calibri"/>
        <family val="2"/>
        <scheme val="minor"/>
      </rPr>
      <t>POST PRODUCCIÓN:</t>
    </r>
    <r>
      <rPr>
        <sz val="11"/>
        <color theme="1"/>
        <rFont val="Calibri"/>
        <family val="2"/>
        <scheme val="minor"/>
      </rPr>
      <t xml:space="preserve"> 11 NOVIEMBRE- 15 DE SEPTIEMBRE 2025</t>
    </r>
  </si>
  <si>
    <t>•Preproducción del 21 al 30 de noviembre de 2024
•Rodaje del 2 al 7 de diciembre de 2024
•Cierre del 9 al 18 de diciembre de 2024</t>
  </si>
  <si>
    <t>Mujeres asesinas 4ta temporada</t>
  </si>
  <si>
    <t>Almas Perdidas</t>
  </si>
  <si>
    <t>02-11-019575-0000-01</t>
  </si>
  <si>
    <t>Póliza Anual (Coberturas de Filmación)</t>
  </si>
  <si>
    <t>Cerrado</t>
  </si>
  <si>
    <t>Condominio</t>
  </si>
  <si>
    <t>10-051-07000133-00000-04</t>
  </si>
  <si>
    <t>Vigencia: 27 de septiembre 2024 al 27 de septiembre 2025</t>
  </si>
  <si>
    <t>01-01-011788-0000-03</t>
  </si>
  <si>
    <t>Animal de luz</t>
  </si>
  <si>
    <t>Diana bracho, ver quien ofrece mejores T&amp;C</t>
  </si>
  <si>
    <t>Nota de Credito Cancelación de Póliza</t>
  </si>
  <si>
    <t>NO DAR SEGUIMIENTO, ESTO ES UNICAMENTE TEMA OPERATIVO DEL FORECAST</t>
  </si>
  <si>
    <t>DVEP-16033_0</t>
  </si>
  <si>
    <t xml:space="preserve">Programa Amazon </t>
  </si>
  <si>
    <t>Amazon / Gallagher</t>
  </si>
  <si>
    <t>Responsabilidad Civil General y Equipos en Vivo</t>
  </si>
  <si>
    <t>Amelia Eloisa Martinez Macias</t>
  </si>
  <si>
    <t>Pagada, no Seguir</t>
  </si>
  <si>
    <t>Comodato</t>
  </si>
  <si>
    <t xml:space="preserve">18105 30290221 </t>
  </si>
  <si>
    <t>Janeth Paulina Mora Gonzalez</t>
  </si>
  <si>
    <t>Revisar Póliza, comisión aún no recibida</t>
  </si>
  <si>
    <t>Proyecto pendiente, nos confirmaran cuando cierren contrato dar seguimiento en dos meses (octubre 2025)</t>
  </si>
  <si>
    <t>Estar al pendiente de la Póliza.</t>
  </si>
  <si>
    <t>JANETH MORA</t>
  </si>
  <si>
    <t>SE BUSCA</t>
  </si>
  <si>
    <t>01-11-019712-000-01</t>
  </si>
  <si>
    <t>Vigencia: 17 de abril 2025 al 19 de abril 2025</t>
  </si>
  <si>
    <t xml:space="preserve">No seguir </t>
  </si>
  <si>
    <t>Ellos nos avisan.</t>
  </si>
  <si>
    <t>Enviar recordatorio de renovación marzo 2027.</t>
  </si>
  <si>
    <t>Extención de vigencia RP 16 de julio al 17 de agosto 2025</t>
  </si>
  <si>
    <t>Extensión de vigencia RP DEL 18 de ago al 01 oct 2025</t>
  </si>
  <si>
    <t>Se paralizó por ahora.</t>
  </si>
  <si>
    <t>18105 30301138</t>
  </si>
  <si>
    <t>Vigencia: 06 de agosto 2025 al 06 de agosto 2026</t>
  </si>
  <si>
    <t>Sergio hara un seguimiento con el cliente Uziel.</t>
  </si>
  <si>
    <t>Se hizo y se pago (Falta agregar al copsisi porque no hay cadena).</t>
  </si>
  <si>
    <t>Falta recibir la póliza.</t>
  </si>
  <si>
    <t xml:space="preserve"> DVEP/00015001   endoso A12</t>
  </si>
  <si>
    <t>Vigencia: 13 de febrero 2025 al 13 de febrero 2026.</t>
  </si>
  <si>
    <t>9912-48-16</t>
  </si>
  <si>
    <t>Pendiente comisión.</t>
  </si>
  <si>
    <t>Nos contesto Abel el 24 de julio que por ahora con las cotizaciones que les enviamos estan bien ellos. Preguntar a Guille si seguimos recordando.</t>
  </si>
  <si>
    <t>No la cobramos pero si mandamos a Layner, revisar con Guille en especifico el proceso de esta y cuando vamos a mandar a renovar.</t>
  </si>
  <si>
    <t>MADRE FOCA</t>
  </si>
  <si>
    <t>ITACA</t>
  </si>
  <si>
    <t>ISA GUERRA</t>
  </si>
  <si>
    <t>MARIANA MARTINEZ</t>
  </si>
  <si>
    <t>JOSE CARLOS PEÑA</t>
  </si>
  <si>
    <t>NOREVO</t>
  </si>
  <si>
    <t>CYBER</t>
  </si>
  <si>
    <t>ANIMAL DE LUZ</t>
  </si>
  <si>
    <t>RODRIGO MACIN</t>
  </si>
  <si>
    <t>PARAMETRICOS</t>
  </si>
  <si>
    <t>DARIO CICARDI</t>
  </si>
  <si>
    <t>NUEVO PROYECTO</t>
  </si>
  <si>
    <t>Sergio hara un seguimiento con el cliente Dario sobre algun proyecto nuevo</t>
  </si>
  <si>
    <t>Sergio le dará seguimiento con Diodoro</t>
  </si>
  <si>
    <t>Perdido (se hizo en colombia)</t>
  </si>
  <si>
    <t>Sergio se pondra en contacto con Rodrigo Macin</t>
  </si>
  <si>
    <t>Hace falta cotizar a Norevo</t>
  </si>
  <si>
    <t>Hace falta que sergio vaya a ver al cliente (recordar el 25 de agosto 2025)</t>
  </si>
  <si>
    <t>LINEAS PERSONALES</t>
  </si>
  <si>
    <t>Falta que sergio se ponga en contacto con Marianita</t>
  </si>
  <si>
    <t>Hace falta nos confirmen emisión.</t>
  </si>
  <si>
    <t>Ponerse en contacto con el cliente.</t>
  </si>
  <si>
    <t>S PENDIENTE</t>
  </si>
  <si>
    <t>S CERRADO</t>
  </si>
  <si>
    <t xml:space="preserve">CRIME </t>
  </si>
  <si>
    <t>Póliza Anual Endoso de aumento</t>
  </si>
  <si>
    <t>02-11-019575-0004-01 END 0004</t>
  </si>
  <si>
    <t>Vigencia: 17 de julio 2025 al 01 de abril 2026</t>
  </si>
  <si>
    <t>Ya se envió a Hector y se realizó el pago.</t>
  </si>
  <si>
    <t>COLECTIVO DE GMM BUPA</t>
  </si>
  <si>
    <t>Promociones e Inversiones Almendro</t>
  </si>
  <si>
    <t>Parametrico</t>
  </si>
  <si>
    <t>Cambio de contratante.</t>
  </si>
  <si>
    <t>02-11-019967-0000-01</t>
  </si>
  <si>
    <t>Vigencia: 21 de abril 2025 al 10 de octubre 2025</t>
  </si>
  <si>
    <t>DVEP/00015878  END:</t>
  </si>
  <si>
    <t>Vigencia: 01 de junio 2025 al 24 de mayo 2026</t>
  </si>
  <si>
    <t>Vigencia: 21 de enero 2025 al 20 de febrero 2025</t>
  </si>
  <si>
    <t>DESP/00000017</t>
  </si>
  <si>
    <t>Vigencia: 18 de julio 2025 al 18 de julio 2026</t>
  </si>
  <si>
    <t>Enviada, faltan correcciones de vigencia por parte de Inbursa</t>
  </si>
  <si>
    <t>PRE</t>
  </si>
  <si>
    <t>18105 30300987</t>
  </si>
  <si>
    <t xml:space="preserve">Vigencia: 25 de julio al 10 de noviembre de 2025 </t>
  </si>
  <si>
    <t>01-11-021536-000-01</t>
  </si>
  <si>
    <t>Vigencia: 23 de julio al 09 de noviembre 2025</t>
  </si>
  <si>
    <t>Vigencia: 22 de mayo al 10 de junio 2025</t>
  </si>
  <si>
    <t>1 vez al mes hay que recordarle a Sergio le hable al cliente.</t>
  </si>
  <si>
    <t>Se enviaron complementos de pago.</t>
  </si>
  <si>
    <t>Alejandro Lemon no contesta</t>
  </si>
  <si>
    <t>Cotización con bupa de colectivo de media pro, falta enviar a media pro</t>
  </si>
  <si>
    <t>Falta que nos proporcionen los endosos del 01 - 35 de " rines y llantas", "robo parte por parte", "corrección de auto relevo plus" (15 dias en vez de 15$), cancelación de los endosos D (cancelación robo parte por parte y rines y llantas) del inciso 34, avisos de cobro del 36 al 44 3-4 con los endosos robo parte por parte y llantas y rines, revisar y enviar al cobro el 3-4 a media pro, corregir facturas iniciales y complementos de pago. falta entregar reporte a silvia de todo lo que tenemos y actualizar el excel autos</t>
  </si>
  <si>
    <t xml:space="preserve">Pendiente </t>
  </si>
  <si>
    <t xml:space="preserve"> SUBRAMO </t>
  </si>
  <si>
    <t>Vigencia: 31 de marzo 2025 al 09 de abril 2025</t>
  </si>
  <si>
    <t>TUYA FILMS</t>
  </si>
  <si>
    <t>PAQUETE</t>
  </si>
  <si>
    <t>RELITY</t>
  </si>
  <si>
    <t>FERNANDA MEDINA (DINAMO)</t>
  </si>
  <si>
    <t>DANIELA RELLOSO</t>
  </si>
  <si>
    <t>Van a realizar un nuevo proyecto los de dinamo</t>
  </si>
  <si>
    <t>Falta que sergio se ponga en contacto con ella.</t>
  </si>
  <si>
    <t>R&amp;B PRODUTION SERVICES S DE RL DE CV</t>
  </si>
  <si>
    <t>ISLAND COUPLES PROJECT S4</t>
  </si>
  <si>
    <t>LORENZO MORA</t>
  </si>
  <si>
    <t>LA PRIMAVERA DE LOS ANACORETAS</t>
  </si>
  <si>
    <t>Nos confirmaron que se pausa el proyecto para el primer trimestre del 2026.</t>
  </si>
  <si>
    <t xml:space="preserve">José Mora Salazar </t>
  </si>
  <si>
    <t>La Primavera de los Anacoretas</t>
  </si>
  <si>
    <t>En Proceso de cotización, enviar recordatorio el lunes.</t>
  </si>
  <si>
    <t>Falta que juan nos proporcione el complemento de pago, que Haydee realice los pagos de las altas subsecuentes. Se envío el proceso de altas y bajas actualizado a julio 2025</t>
  </si>
  <si>
    <t>AIG</t>
  </si>
  <si>
    <t>Cotización enviar hoy 28 de agosto 2025.</t>
  </si>
  <si>
    <t>Servicios de Producción Reforma SA de CV</t>
  </si>
  <si>
    <t>MORIR MATANDO</t>
  </si>
  <si>
    <t>Se mandó a cotizar con allianz presionar el 02 de spetiembre 2025.</t>
  </si>
  <si>
    <t>último correo de Diani, falta que conteste Lucy conforme a la respuesta de la prima</t>
  </si>
  <si>
    <t>Corazonada E&amp;O</t>
  </si>
  <si>
    <t>Uno Para Morir E&amp;O</t>
  </si>
  <si>
    <t>At Midgnight E&amp;O</t>
  </si>
  <si>
    <t>Falta les enviemos los documentos firmados nuevamente porque tuvieron problemas con el docu.</t>
  </si>
  <si>
    <t>Hace fFalta les enviemos los documentos firmados nuevamente porque tuvieron problemas con el docu.</t>
  </si>
  <si>
    <t>Poliza anual riesgos profesionales</t>
  </si>
  <si>
    <t>Vigencia: 03 de julio 2025 al 03 de julio 2025</t>
  </si>
  <si>
    <t>Mandar un mail cada mes a: Barcenas, Lluvia, Pedro Roa, Julian, Diana y Guille en los primeros 5 dias del mes para ver si see mitira un COI para trasladar equipo  (correo es: RECORDATORIO TVG// SOLICITUD DE TRAMITE CERTIFICADO COI// PANAVISIÓN).</t>
  </si>
  <si>
    <t>Póliza Vida  Grupo Recibo 2-3</t>
  </si>
  <si>
    <t>Accidentes Personales Colectivo AIG</t>
  </si>
  <si>
    <t>Layner no contesta a día de hoy 01 de septiembre  2025</t>
  </si>
  <si>
    <t>Revisar riesgos profesional, se recordo a Guille el01 de septiembre 2025</t>
  </si>
  <si>
    <t>enviar creditos</t>
  </si>
  <si>
    <t>Si esta semana no responde contactar por whats app el 07 de septiembre 2025</t>
  </si>
  <si>
    <t>Enviar un mail a dick feedback del cliente o cerramos la cotización si novan vanzar 01 de septiembre</t>
  </si>
  <si>
    <t>Enviar costos estimativos 01 de septiembre 2025 (seguimiento para ver si envian el cuestioanrio de filmación)</t>
  </si>
  <si>
    <t>Enviar costos estimativos 01 de septiembre 2025 (armar la cotización rp)</t>
  </si>
  <si>
    <t>JULIO VERNE E&amp;O</t>
  </si>
  <si>
    <t>Esperar a que lucy nos pase terminos.</t>
  </si>
  <si>
    <t xml:space="preserve">GICSA </t>
  </si>
  <si>
    <t>Miercoles enciviar con copía a sergio si necesitan ayuda con ciyber con gicsa.</t>
  </si>
  <si>
    <t>Hacerle seguimiento el jueves a grupo posadas, cotizacion de parametricos con castell</t>
  </si>
  <si>
    <t>CIBER</t>
  </si>
  <si>
    <t>Poliza enviada.</t>
  </si>
  <si>
    <t>Cerrado, no seguir (BTF no respondio al pago de la prima devengada).</t>
  </si>
  <si>
    <t>Den proporcionarnos las facturas corregidas en uso de CFD, facturas por los montos correctos y proporcionarnos los avisos de cobro 3-3 por las primas restantes.</t>
  </si>
  <si>
    <t>ROMERO &amp; BRASS</t>
  </si>
  <si>
    <t xml:space="preserve">PERFECT COUPLE  </t>
  </si>
  <si>
    <t>TOPOFILIA</t>
  </si>
  <si>
    <t>DANIEL RELLOSO</t>
  </si>
  <si>
    <t>RUBICON PRODUCTIONS S DE RL DE CV</t>
  </si>
  <si>
    <t>Ya se envió a fernanda medina</t>
  </si>
  <si>
    <t xml:space="preserve">Cotización presionar a Berkley, aun no arma el esquema, </t>
  </si>
  <si>
    <t>Te esta pidiendo Carta nombramiento.</t>
  </si>
  <si>
    <t>ENDOSO ANIMALES Y SUBLIMITE</t>
  </si>
  <si>
    <t>SETIEMBRE</t>
  </si>
  <si>
    <t>Se busca</t>
  </si>
  <si>
    <t>Vigencia: 27 de junio 2025 al 27 de junio 2026</t>
  </si>
  <si>
    <t>Magic Makers Agency</t>
  </si>
  <si>
    <t>En cotización, falta que Guille envie la cotización a CAMILA</t>
  </si>
  <si>
    <t>pendiente</t>
  </si>
  <si>
    <t>ESPERANTO KINO S. DE R.L. DE C.V.</t>
  </si>
  <si>
    <t>RISKMEDIA MEXCIO, SEGUROS S.A. DE C.V.</t>
  </si>
  <si>
    <t>Daños</t>
  </si>
  <si>
    <t>PAGADA 04/09/2025</t>
  </si>
  <si>
    <t>GUILLERMO DANIEL KRAUSE SEPULVEDA</t>
  </si>
  <si>
    <t>VIDA INDIVIDUAL</t>
  </si>
  <si>
    <t>Recibo 1 de 4 pagado, recordar el próximo 21 de octubre a Guillermo</t>
  </si>
  <si>
    <t>Vida</t>
  </si>
  <si>
    <t>REFERENCIA SANTANDER</t>
  </si>
  <si>
    <t>IVA</t>
  </si>
  <si>
    <t>TOTAL (INCLUYE IVA)</t>
  </si>
  <si>
    <t>004201020</t>
  </si>
  <si>
    <t>004201004</t>
  </si>
  <si>
    <t>004201008</t>
  </si>
  <si>
    <t>004201033</t>
  </si>
  <si>
    <t>004200400</t>
  </si>
  <si>
    <t>002019268</t>
  </si>
  <si>
    <t>002019301</t>
  </si>
  <si>
    <t>Guillermo</t>
  </si>
  <si>
    <t>000000610622919</t>
  </si>
  <si>
    <t>PREVISTO EL VIERNES 31 DE OCTUBRE DE 2025</t>
  </si>
  <si>
    <t>PREVISTO JUEVES 30 DE OCTUBRE DE 2025</t>
  </si>
  <si>
    <t>PREVISTO JUEVES 2 DE OCTUBRE DE 2025</t>
  </si>
  <si>
    <t>000617925</t>
  </si>
  <si>
    <t>000616317</t>
  </si>
  <si>
    <t>000617592</t>
  </si>
  <si>
    <t>000000606982539</t>
  </si>
  <si>
    <t>GOMEZ GIL SALA DE JESUS IGNASIO</t>
  </si>
  <si>
    <t>Gastos Médicos (Sergio)</t>
  </si>
  <si>
    <t>Pagada, Confirmar con Vero si se aplicó</t>
  </si>
  <si>
    <t>PAGADO AGREGAR 2 O 3  SEMANAS DESPUES, DEPENDIENDO CADA ASEGURADORA</t>
  </si>
  <si>
    <t>Tomas menciona que va tener una reunión con finanzas de Disney para definir el pago el 09 de septiembre 2025.</t>
  </si>
  <si>
    <t>Campeon  Cabacho Extensión de Vigencia</t>
  </si>
  <si>
    <t>Verificar con Guillesi: tiene los mismo terminos y condiciones.</t>
  </si>
  <si>
    <t>PrePRODUCCIÓN (enviados)</t>
  </si>
  <si>
    <t>ECOLIVE</t>
  </si>
  <si>
    <t>CANCELACIÓN DE EVENTOS</t>
  </si>
  <si>
    <t>ARIZMENDI/ ARZ ENDOSO AMPLIACION</t>
  </si>
  <si>
    <t>DESP/00000009  End 1</t>
  </si>
  <si>
    <t>Anonimo TV</t>
  </si>
  <si>
    <t>Proyecto Pendiente, Nos confirmarán, enviar mail el 01 de octubre</t>
  </si>
  <si>
    <t>DVEP/16048</t>
  </si>
  <si>
    <t xml:space="preserve">Flor </t>
  </si>
  <si>
    <t>Flor</t>
  </si>
  <si>
    <t>Costos nuevos enviados el 17 de septiembre (dar seguimiento el miercoles 24 de septiembre)</t>
  </si>
  <si>
    <t xml:space="preserve">Endemol Shine Boomdog </t>
  </si>
  <si>
    <t xml:space="preserve">Propuestas enviadas Recordar el próximo 24 de septiembre </t>
  </si>
  <si>
    <t>Propuesta 12</t>
  </si>
  <si>
    <t xml:space="preserve">Lo Tomas o lo Dejas T2 </t>
  </si>
  <si>
    <t>Propuesta 11</t>
  </si>
  <si>
    <t>Fremantlemedia México</t>
  </si>
  <si>
    <t>¿Apostarías por Mí?</t>
  </si>
  <si>
    <t xml:space="preserve">Propuesta enviada Recordar el próximo 21  de septiembre </t>
  </si>
  <si>
    <t>Póliza enviada 21 de septiembre, Véronica Dará el seguimiento a Cobranza y Facturación y Kelly el registro en Copsis</t>
  </si>
  <si>
    <t>Endoso enviado el 21 de septiembre, esperar instrucciones de Valeria, pendiente devolución con Berkley</t>
  </si>
  <si>
    <t>RENOVAR CUANTO ANTES</t>
  </si>
  <si>
    <t>m</t>
  </si>
  <si>
    <t>FECHA DE EMISION</t>
  </si>
  <si>
    <r>
      <t xml:space="preserve">No seguir </t>
    </r>
    <r>
      <rPr>
        <sz val="10"/>
        <color rgb="FFFF0000"/>
        <rFont val="Calibri"/>
        <family val="2"/>
        <scheme val="minor"/>
      </rPr>
      <t>(Enviar recordatorio de vencimiento el 26 de diciembre 2025).</t>
    </r>
  </si>
  <si>
    <r>
      <rPr>
        <b/>
        <sz val="10"/>
        <color theme="1"/>
        <rFont val="Calibri"/>
        <family val="2"/>
        <scheme val="minor"/>
      </rPr>
      <t xml:space="preserve">Preproducción: </t>
    </r>
    <r>
      <rPr>
        <sz val="10"/>
        <color theme="1"/>
        <rFont val="Calibri"/>
        <family val="2"/>
        <scheme val="minor"/>
      </rPr>
      <t xml:space="preserve">23 de diciembre 2024 al 17 de febrero 2025                                                                     </t>
    </r>
    <r>
      <rPr>
        <b/>
        <sz val="10"/>
        <color theme="1"/>
        <rFont val="Calibri"/>
        <family val="2"/>
        <scheme val="minor"/>
      </rPr>
      <t>Rodaje</t>
    </r>
    <r>
      <rPr>
        <sz val="10"/>
        <color theme="1"/>
        <rFont val="Calibri"/>
        <family val="2"/>
        <scheme val="minor"/>
      </rPr>
      <t xml:space="preserve">: 17 de febrero al 10 de abril de 2025                                              </t>
    </r>
    <r>
      <rPr>
        <b/>
        <sz val="10"/>
        <color theme="1"/>
        <rFont val="Calibri"/>
        <family val="2"/>
        <scheme val="minor"/>
      </rPr>
      <t>Post-producción</t>
    </r>
    <r>
      <rPr>
        <sz val="10"/>
        <color theme="1"/>
        <rFont val="Calibri"/>
        <family val="2"/>
        <scheme val="minor"/>
      </rPr>
      <t>: 17 de febrero al 4 de julio 2025</t>
    </r>
  </si>
  <si>
    <r>
      <t xml:space="preserve">Vigencia: 16 de enero 2025 al 16 de enero </t>
    </r>
    <r>
      <rPr>
        <sz val="10"/>
        <color theme="9"/>
        <rFont val="Calibri"/>
        <family val="2"/>
        <scheme val="minor"/>
      </rPr>
      <t>2026</t>
    </r>
  </si>
  <si>
    <r>
      <t xml:space="preserve">Enviar recordatorio de renovación el día </t>
    </r>
    <r>
      <rPr>
        <sz val="10"/>
        <color rgb="FFFF0000"/>
        <rFont val="Calibri"/>
        <family val="2"/>
        <scheme val="minor"/>
      </rPr>
      <t>06 de noviembre 2025.</t>
    </r>
  </si>
  <si>
    <r>
      <t>Vigencia: 08 de enero 2025 al 17 de marzo 2</t>
    </r>
    <r>
      <rPr>
        <sz val="10"/>
        <color theme="9"/>
        <rFont val="Calibri"/>
        <family val="2"/>
        <scheme val="minor"/>
      </rPr>
      <t>026</t>
    </r>
  </si>
  <si>
    <r>
      <t>Vigencia: 29 de abril 2024 al 29 de abril</t>
    </r>
    <r>
      <rPr>
        <sz val="10"/>
        <color theme="9"/>
        <rFont val="Calibri"/>
        <family val="2"/>
        <scheme val="minor"/>
      </rPr>
      <t xml:space="preserve"> 2027</t>
    </r>
  </si>
  <si>
    <r>
      <t>Enviar recordatorio de renovación</t>
    </r>
    <r>
      <rPr>
        <sz val="10"/>
        <color rgb="FFFF0000"/>
        <rFont val="Calibri"/>
        <family val="2"/>
        <scheme val="minor"/>
      </rPr>
      <t xml:space="preserve"> 15 de noviembre 2025</t>
    </r>
    <r>
      <rPr>
        <sz val="10"/>
        <color theme="1"/>
        <rFont val="Calibri"/>
        <family val="2"/>
        <scheme val="minor"/>
      </rPr>
      <t>.</t>
    </r>
  </si>
  <si>
    <r>
      <rPr>
        <b/>
        <sz val="10"/>
        <color theme="1"/>
        <rFont val="Calibri"/>
        <family val="2"/>
        <scheme val="minor"/>
      </rPr>
      <t>Rodaje:</t>
    </r>
    <r>
      <rPr>
        <sz val="10"/>
        <color theme="1"/>
        <rFont val="Calibri"/>
        <family val="2"/>
        <scheme val="minor"/>
      </rPr>
      <t xml:space="preserve"> 7 y 8 de abril de 2025
</t>
    </r>
    <r>
      <rPr>
        <b/>
        <sz val="10"/>
        <color theme="1"/>
        <rFont val="Calibri"/>
        <family val="2"/>
        <scheme val="minor"/>
      </rPr>
      <t>Postproducción:</t>
    </r>
    <r>
      <rPr>
        <sz val="10"/>
        <color theme="1"/>
        <rFont val="Calibri"/>
        <family val="2"/>
        <scheme val="minor"/>
      </rPr>
      <t xml:space="preserve"> Del 11 de abril al 18 de julio de 2025</t>
    </r>
  </si>
  <si>
    <r>
      <rPr>
        <b/>
        <sz val="10"/>
        <color theme="1"/>
        <rFont val="Calibri"/>
        <family val="2"/>
        <scheme val="minor"/>
      </rPr>
      <t>Preproducción:</t>
    </r>
    <r>
      <rPr>
        <sz val="10"/>
        <color theme="1"/>
        <rFont val="Calibri"/>
        <family val="2"/>
        <scheme val="minor"/>
      </rPr>
      <t xml:space="preserve"> Del 13 de enero al 6 de abril de 2024
</t>
    </r>
    <r>
      <rPr>
        <b/>
        <sz val="10"/>
        <color theme="1"/>
        <rFont val="Calibri"/>
        <family val="2"/>
        <scheme val="minor"/>
      </rPr>
      <t>Rodaje:</t>
    </r>
    <r>
      <rPr>
        <sz val="10"/>
        <color theme="1"/>
        <rFont val="Calibri"/>
        <family val="2"/>
        <scheme val="minor"/>
      </rPr>
      <t xml:space="preserve"> 7 y 8 de abril de 2024 </t>
    </r>
    <r>
      <rPr>
        <b/>
        <sz val="10"/>
        <color theme="1"/>
        <rFont val="Calibri"/>
        <family val="2"/>
        <scheme val="minor"/>
      </rPr>
      <t>Cierre:</t>
    </r>
    <r>
      <rPr>
        <sz val="10"/>
        <color theme="1"/>
        <rFont val="Calibri"/>
        <family val="2"/>
        <scheme val="minor"/>
      </rPr>
      <t xml:space="preserve"> 9 al 18 de abril de 2024</t>
    </r>
  </si>
  <si>
    <r>
      <rPr>
        <b/>
        <sz val="10"/>
        <color theme="1"/>
        <rFont val="Calibri"/>
        <family val="2"/>
        <scheme val="minor"/>
      </rPr>
      <t>Preproducción:</t>
    </r>
    <r>
      <rPr>
        <sz val="10"/>
        <color theme="1"/>
        <rFont val="Calibri"/>
        <family val="2"/>
        <scheme val="minor"/>
      </rPr>
      <t xml:space="preserve"> del 06 de enero 2025 al 15 de marzo 2025,                                                         </t>
    </r>
    <r>
      <rPr>
        <b/>
        <sz val="10"/>
        <color theme="1"/>
        <rFont val="Calibri"/>
        <family val="2"/>
        <scheme val="minor"/>
      </rPr>
      <t>Rodaje:</t>
    </r>
    <r>
      <rPr>
        <sz val="10"/>
        <color theme="1"/>
        <rFont val="Calibri"/>
        <family val="2"/>
        <scheme val="minor"/>
      </rPr>
      <t xml:space="preserve"> del 31 de enero al 3 de marzo 2025,                                                </t>
    </r>
    <r>
      <rPr>
        <b/>
        <sz val="10"/>
        <color theme="1"/>
        <rFont val="Calibri"/>
        <family val="2"/>
        <scheme val="minor"/>
      </rPr>
      <t>Post- producción</t>
    </r>
    <r>
      <rPr>
        <sz val="10"/>
        <color theme="1"/>
        <rFont val="Calibri"/>
        <family val="2"/>
        <scheme val="minor"/>
      </rPr>
      <t>: del 31 de enero al 30 de mayo 2025.</t>
    </r>
  </si>
  <si>
    <r>
      <t>Vigencia: 29 de enero 2025 al 29 de enero</t>
    </r>
    <r>
      <rPr>
        <sz val="10"/>
        <color theme="9"/>
        <rFont val="Calibri"/>
        <family val="2"/>
        <scheme val="minor"/>
      </rPr>
      <t xml:space="preserve"> 2026</t>
    </r>
  </si>
  <si>
    <r>
      <rPr>
        <b/>
        <sz val="10"/>
        <color theme="1"/>
        <rFont val="Calibri"/>
        <family val="2"/>
        <scheme val="minor"/>
      </rPr>
      <t>Preproducción</t>
    </r>
    <r>
      <rPr>
        <sz val="10"/>
        <color theme="1"/>
        <rFont val="Calibri"/>
        <family val="2"/>
        <scheme val="minor"/>
      </rPr>
      <t xml:space="preserve">: 6 de enero al 30 de enero 2025
</t>
    </r>
    <r>
      <rPr>
        <b/>
        <sz val="10"/>
        <color theme="1"/>
        <rFont val="Calibri"/>
        <family val="2"/>
        <scheme val="minor"/>
      </rPr>
      <t>Rodaje</t>
    </r>
    <r>
      <rPr>
        <sz val="10"/>
        <color theme="1"/>
        <rFont val="Calibri"/>
        <family val="2"/>
        <scheme val="minor"/>
      </rPr>
      <t xml:space="preserve">: 31 de enero al 3 de marzo 2025
</t>
    </r>
    <r>
      <rPr>
        <b/>
        <sz val="10"/>
        <color theme="1"/>
        <rFont val="Calibri"/>
        <family val="2"/>
        <scheme val="minor"/>
      </rPr>
      <t>Cierre</t>
    </r>
    <r>
      <rPr>
        <sz val="10"/>
        <color theme="1"/>
        <rFont val="Calibri"/>
        <family val="2"/>
        <scheme val="minor"/>
      </rPr>
      <t>: 4 al 11 de marzo</t>
    </r>
  </si>
  <si>
    <r>
      <rPr>
        <b/>
        <sz val="10"/>
        <color theme="1"/>
        <rFont val="Calibri"/>
        <family val="2"/>
        <scheme val="minor"/>
      </rPr>
      <t>Preproducción:</t>
    </r>
    <r>
      <rPr>
        <sz val="10"/>
        <color theme="1"/>
        <rFont val="Calibri"/>
        <family val="2"/>
        <scheme val="minor"/>
      </rPr>
      <t xml:space="preserve"> 1 DE FEBRERO A 10 DE MARZO
</t>
    </r>
    <r>
      <rPr>
        <b/>
        <sz val="10"/>
        <color theme="1"/>
        <rFont val="Calibri"/>
        <family val="2"/>
        <scheme val="minor"/>
      </rPr>
      <t>Rodaje:</t>
    </r>
    <r>
      <rPr>
        <sz val="10"/>
        <color theme="1"/>
        <rFont val="Calibri"/>
        <family val="2"/>
        <scheme val="minor"/>
      </rPr>
      <t xml:space="preserve"> 10 DE MARZO A 16 DE MARZO
</t>
    </r>
    <r>
      <rPr>
        <b/>
        <sz val="10"/>
        <color theme="1"/>
        <rFont val="Calibri"/>
        <family val="2"/>
        <scheme val="minor"/>
      </rPr>
      <t>Cierre:</t>
    </r>
    <r>
      <rPr>
        <sz val="10"/>
        <color theme="1"/>
        <rFont val="Calibri"/>
        <family val="2"/>
        <scheme val="minor"/>
      </rPr>
      <t xml:space="preserve"> 20 DE JUNIO
</t>
    </r>
  </si>
  <si>
    <r>
      <t xml:space="preserve">Enviar recordatorio de vencimiento </t>
    </r>
    <r>
      <rPr>
        <sz val="10"/>
        <color rgb="FFFF0000"/>
        <rFont val="Calibri"/>
        <family val="2"/>
        <scheme val="minor"/>
      </rPr>
      <t xml:space="preserve">20 de septiembre 2025 </t>
    </r>
  </si>
  <si>
    <r>
      <t xml:space="preserve">
</t>
    </r>
    <r>
      <rPr>
        <b/>
        <sz val="10"/>
        <color theme="1"/>
        <rFont val="Calibri"/>
        <family val="2"/>
        <scheme val="minor"/>
      </rPr>
      <t xml:space="preserve">Rodaje: </t>
    </r>
    <r>
      <rPr>
        <sz val="10"/>
        <color theme="1"/>
        <rFont val="Calibri"/>
        <family val="2"/>
        <scheme val="minor"/>
      </rPr>
      <t xml:space="preserve">16 y 27 de octubre, 1 y 2 de noviembre, 11 de diciembre del 2024 | 17 de marzo al 3 de mayo del 2025 t 
</t>
    </r>
    <r>
      <rPr>
        <b/>
        <sz val="10"/>
        <color theme="1"/>
        <rFont val="Calibri"/>
        <family val="2"/>
        <scheme val="minor"/>
      </rPr>
      <t>producción</t>
    </r>
    <r>
      <rPr>
        <sz val="10"/>
        <color theme="1"/>
        <rFont val="Calibri"/>
        <family val="2"/>
        <scheme val="minor"/>
      </rPr>
      <t xml:space="preserve">: 17 de marzo a 05 de septiembre del 2025	</t>
    </r>
  </si>
  <si>
    <r>
      <t xml:space="preserve">                                           </t>
    </r>
    <r>
      <rPr>
        <b/>
        <sz val="10"/>
        <color theme="1"/>
        <rFont val="Calibri"/>
        <family val="2"/>
        <scheme val="minor"/>
      </rPr>
      <t>Preproducción:</t>
    </r>
    <r>
      <rPr>
        <sz val="10"/>
        <color theme="1"/>
        <rFont val="Calibri"/>
        <family val="2"/>
        <scheme val="minor"/>
      </rPr>
      <t xml:space="preserve"> 7 de octubre al 10 de diciembre de 2024 | 6 de enero al 15 de marzo del 2025 
                                                                                                           </t>
    </r>
    <r>
      <rPr>
        <b/>
        <sz val="10"/>
        <color theme="1"/>
        <rFont val="Calibri"/>
        <family val="2"/>
        <scheme val="minor"/>
      </rPr>
      <t>Rodaje:</t>
    </r>
    <r>
      <rPr>
        <sz val="10"/>
        <color theme="1"/>
        <rFont val="Calibri"/>
        <family val="2"/>
        <scheme val="minor"/>
      </rPr>
      <t xml:space="preserve"> 16 y 27 de octubre, 1 y 2 de noviembre, 11 de diciembre del 2024 | 17 de marzo al 3 de mayo del 2025 
</t>
    </r>
    <r>
      <rPr>
        <b/>
        <sz val="10"/>
        <color theme="1"/>
        <rFont val="Calibri"/>
        <family val="2"/>
        <scheme val="minor"/>
      </rPr>
      <t>Cierre</t>
    </r>
    <r>
      <rPr>
        <sz val="10"/>
        <color theme="1"/>
        <rFont val="Calibri"/>
        <family val="2"/>
        <scheme val="minor"/>
      </rPr>
      <t xml:space="preserve">: 5 de mayo 2025 al 31 de mayo del 2025 </t>
    </r>
  </si>
  <si>
    <r>
      <rPr>
        <b/>
        <sz val="10"/>
        <color theme="1"/>
        <rFont val="Calibri"/>
        <family val="2"/>
        <scheme val="minor"/>
      </rPr>
      <t>Rodaje:</t>
    </r>
    <r>
      <rPr>
        <sz val="10"/>
        <color theme="1"/>
        <rFont val="Calibri"/>
        <family val="2"/>
        <scheme val="minor"/>
      </rPr>
      <t xml:space="preserve">  15 de octubre - 15 de octubre                                       </t>
    </r>
    <r>
      <rPr>
        <b/>
        <sz val="10"/>
        <color theme="1"/>
        <rFont val="Calibri"/>
        <family val="2"/>
        <scheme val="minor"/>
      </rPr>
      <t>Postproducción:</t>
    </r>
    <r>
      <rPr>
        <sz val="10"/>
        <color theme="1"/>
        <rFont val="Calibri"/>
        <family val="2"/>
        <scheme val="minor"/>
      </rPr>
      <t xml:space="preserve"> 16 de octubre - 30 de octubre 2024</t>
    </r>
  </si>
  <si>
    <r>
      <rPr>
        <b/>
        <sz val="10"/>
        <color theme="1"/>
        <rFont val="Calibri"/>
        <family val="2"/>
        <scheme val="minor"/>
      </rPr>
      <t>Preproducción</t>
    </r>
    <r>
      <rPr>
        <sz val="10"/>
        <color theme="1"/>
        <rFont val="Calibri"/>
        <family val="2"/>
        <scheme val="minor"/>
      </rPr>
      <t xml:space="preserve">: 23 de septiembre
</t>
    </r>
    <r>
      <rPr>
        <b/>
        <sz val="10"/>
        <color theme="1"/>
        <rFont val="Calibri"/>
        <family val="2"/>
        <scheme val="minor"/>
      </rPr>
      <t>Rodaje</t>
    </r>
    <r>
      <rPr>
        <sz val="10"/>
        <color theme="1"/>
        <rFont val="Calibri"/>
        <family val="2"/>
        <scheme val="minor"/>
      </rPr>
      <t xml:space="preserve">: 15 de octubre
</t>
    </r>
    <r>
      <rPr>
        <b/>
        <sz val="10"/>
        <color theme="1"/>
        <rFont val="Calibri"/>
        <family val="2"/>
        <scheme val="minor"/>
      </rPr>
      <t>Cierre</t>
    </r>
    <r>
      <rPr>
        <sz val="10"/>
        <color theme="1"/>
        <rFont val="Calibri"/>
        <family val="2"/>
        <scheme val="minor"/>
      </rPr>
      <t>: 16 de Octubre</t>
    </r>
  </si>
  <si>
    <r>
      <t xml:space="preserve">Vigencia: 09 de diciembre 2024 al 09 de diciembre </t>
    </r>
    <r>
      <rPr>
        <sz val="10"/>
        <color theme="9"/>
        <rFont val="Calibri"/>
        <family val="2"/>
        <scheme val="minor"/>
      </rPr>
      <t>2027</t>
    </r>
  </si>
  <si>
    <r>
      <rPr>
        <b/>
        <sz val="10"/>
        <color theme="1"/>
        <rFont val="Calibri"/>
        <family val="2"/>
        <scheme val="minor"/>
      </rPr>
      <t>PRE</t>
    </r>
    <r>
      <rPr>
        <sz val="10"/>
        <color theme="1"/>
        <rFont val="Calibri"/>
        <family val="2"/>
        <scheme val="minor"/>
      </rPr>
      <t xml:space="preserve">: 21 de abril 2025 al 11 de septiembre 2025,                     </t>
    </r>
    <r>
      <rPr>
        <b/>
        <sz val="10"/>
        <color theme="1"/>
        <rFont val="Calibri"/>
        <family val="2"/>
        <scheme val="minor"/>
      </rPr>
      <t>RODAJE</t>
    </r>
    <r>
      <rPr>
        <sz val="10"/>
        <color theme="1"/>
        <rFont val="Calibri"/>
        <family val="2"/>
        <scheme val="minor"/>
      </rPr>
      <t xml:space="preserve">: 16 de junio 2025 al 11 de septiembre 2025,                               </t>
    </r>
    <r>
      <rPr>
        <b/>
        <sz val="10"/>
        <color theme="1"/>
        <rFont val="Calibri"/>
        <family val="2"/>
        <scheme val="minor"/>
      </rPr>
      <t>POST:</t>
    </r>
    <r>
      <rPr>
        <sz val="10"/>
        <color theme="1"/>
        <rFont val="Calibri"/>
        <family val="2"/>
        <scheme val="minor"/>
      </rPr>
      <t xml:space="preserve"> 16 de junio 2025 al 26 de junio 2026.</t>
    </r>
  </si>
  <si>
    <r>
      <t>Vigencia: 23 de septiembre 2024 al 14 marzo</t>
    </r>
    <r>
      <rPr>
        <sz val="10"/>
        <color theme="9"/>
        <rFont val="Calibri"/>
        <family val="2"/>
        <scheme val="minor"/>
      </rPr>
      <t xml:space="preserve"> 2026</t>
    </r>
  </si>
  <si>
    <r>
      <rPr>
        <b/>
        <sz val="10"/>
        <color theme="1"/>
        <rFont val="Calibri"/>
        <family val="2"/>
        <scheme val="minor"/>
      </rPr>
      <t>RODAJE</t>
    </r>
    <r>
      <rPr>
        <sz val="10"/>
        <color theme="1"/>
        <rFont val="Calibri"/>
        <family val="2"/>
        <scheme val="minor"/>
      </rPr>
      <t xml:space="preserve">: Del 20 de enero 2025 al 27 de marzo 2025 (10 semanas)                                                                  </t>
    </r>
    <r>
      <rPr>
        <b/>
        <sz val="10"/>
        <color theme="1"/>
        <rFont val="Calibri"/>
        <family val="2"/>
        <scheme val="minor"/>
      </rPr>
      <t>POSTPRODUCCIÓN</t>
    </r>
    <r>
      <rPr>
        <sz val="10"/>
        <color theme="1"/>
        <rFont val="Calibri"/>
        <family val="2"/>
        <scheme val="minor"/>
      </rPr>
      <t>: Del 20 de enero 2025 al 18 de agosto de 2025</t>
    </r>
  </si>
  <si>
    <r>
      <t xml:space="preserve">Enviar recordatorio de renovación y créditos </t>
    </r>
    <r>
      <rPr>
        <sz val="10"/>
        <color rgb="FFFF0000"/>
        <rFont val="Calibri"/>
        <family val="2"/>
        <scheme val="minor"/>
      </rPr>
      <t>28 de noviembre 2025.</t>
    </r>
  </si>
  <si>
    <r>
      <rPr>
        <b/>
        <sz val="10"/>
        <color theme="1"/>
        <rFont val="Calibri"/>
        <family val="2"/>
        <scheme val="minor"/>
      </rPr>
      <t>Preproducción</t>
    </r>
    <r>
      <rPr>
        <sz val="10"/>
        <color theme="1"/>
        <rFont val="Calibri"/>
        <family val="2"/>
        <scheme val="minor"/>
      </rPr>
      <t xml:space="preserve">: 9-12-2024 al 19-01-2025
</t>
    </r>
    <r>
      <rPr>
        <b/>
        <sz val="10"/>
        <color theme="1"/>
        <rFont val="Calibri"/>
        <family val="2"/>
        <scheme val="minor"/>
      </rPr>
      <t>Rodaje Pre-shoot:</t>
    </r>
    <r>
      <rPr>
        <sz val="10"/>
        <color theme="1"/>
        <rFont val="Calibri"/>
        <family val="2"/>
        <scheme val="minor"/>
      </rPr>
      <t xml:space="preserve"> 9 y 10-1-2025 Fotografía principal: 20-1-2025 al 19-2-2025
</t>
    </r>
    <r>
      <rPr>
        <b/>
        <sz val="10"/>
        <color theme="1"/>
        <rFont val="Calibri"/>
        <family val="2"/>
        <scheme val="minor"/>
      </rPr>
      <t>Finalización estimad</t>
    </r>
    <r>
      <rPr>
        <sz val="10"/>
        <color theme="1"/>
        <rFont val="Calibri"/>
        <family val="2"/>
        <scheme val="minor"/>
      </rPr>
      <t>a de la
copia master
Diciembre 2025</t>
    </r>
  </si>
  <si>
    <r>
      <t>NA (</t>
    </r>
    <r>
      <rPr>
        <sz val="10"/>
        <color rgb="FFFF0000"/>
        <rFont val="Calibri"/>
        <family val="2"/>
        <scheme val="minor"/>
      </rPr>
      <t>ENVIAR CRÉDITOS</t>
    </r>
    <r>
      <rPr>
        <sz val="10"/>
        <color theme="1"/>
        <rFont val="Calibri"/>
        <family val="2"/>
        <scheme val="minor"/>
      </rPr>
      <t>)</t>
    </r>
  </si>
  <si>
    <r>
      <t xml:space="preserve">Vigencia: 09 de febrero 2025 al 09 de febrero </t>
    </r>
    <r>
      <rPr>
        <sz val="10"/>
        <color theme="9"/>
        <rFont val="Calibri"/>
        <family val="2"/>
        <scheme val="minor"/>
      </rPr>
      <t>2026</t>
    </r>
  </si>
  <si>
    <r>
      <rPr>
        <b/>
        <sz val="10"/>
        <color theme="1"/>
        <rFont val="Calibri"/>
        <family val="2"/>
        <scheme val="minor"/>
      </rPr>
      <t xml:space="preserve">Preproducción: </t>
    </r>
    <r>
      <rPr>
        <sz val="10"/>
        <color theme="1"/>
        <rFont val="Calibri"/>
        <family val="2"/>
        <scheme val="minor"/>
      </rPr>
      <t xml:space="preserve">DEL 03 DE FEBRERO
AL 20 DE ABRIL DE
2025
</t>
    </r>
    <r>
      <rPr>
        <b/>
        <sz val="10"/>
        <color theme="1"/>
        <rFont val="Calibri"/>
        <family val="2"/>
        <scheme val="minor"/>
      </rPr>
      <t>Rodaje</t>
    </r>
    <r>
      <rPr>
        <sz val="10"/>
        <color theme="1"/>
        <rFont val="Calibri"/>
        <family val="2"/>
        <scheme val="minor"/>
      </rPr>
      <t xml:space="preserve">: DEL 21 DE ABRIL AL
10 DE AGOSTO DE
2025
</t>
    </r>
    <r>
      <rPr>
        <b/>
        <sz val="10"/>
        <color theme="1"/>
        <rFont val="Calibri"/>
        <family val="2"/>
        <scheme val="minor"/>
      </rPr>
      <t>Finalización estimada</t>
    </r>
    <r>
      <rPr>
        <sz val="10"/>
        <color theme="1"/>
        <rFont val="Calibri"/>
        <family val="2"/>
        <scheme val="minor"/>
      </rPr>
      <t xml:space="preserve"> de la
copia master
21 de marzo 2026</t>
    </r>
  </si>
  <si>
    <r>
      <t xml:space="preserve">Enviar recordatorio de renovación </t>
    </r>
    <r>
      <rPr>
        <sz val="10"/>
        <color rgb="FFFF0000"/>
        <rFont val="Calibri"/>
        <family val="2"/>
        <scheme val="minor"/>
      </rPr>
      <t>28 de diciembre 2025</t>
    </r>
    <r>
      <rPr>
        <sz val="10"/>
        <color theme="1"/>
        <rFont val="Calibri"/>
        <family val="2"/>
        <scheme val="minor"/>
      </rPr>
      <t>.</t>
    </r>
  </si>
  <si>
    <r>
      <t xml:space="preserve">Vigencia: 28 de enero 2025 al 28 de enero </t>
    </r>
    <r>
      <rPr>
        <sz val="10"/>
        <color theme="9"/>
        <rFont val="Calibri"/>
        <family val="2"/>
        <scheme val="minor"/>
      </rPr>
      <t>2026.</t>
    </r>
  </si>
  <si>
    <r>
      <t xml:space="preserve">Enviar recordatorio de renovación </t>
    </r>
    <r>
      <rPr>
        <sz val="10"/>
        <color rgb="FFFF0000"/>
        <rFont val="Calibri"/>
        <family val="2"/>
        <scheme val="minor"/>
      </rPr>
      <t>02 de noviembre 2025.</t>
    </r>
  </si>
  <si>
    <r>
      <t xml:space="preserve">Enviar recordatorio de renovación el </t>
    </r>
    <r>
      <rPr>
        <sz val="10"/>
        <color rgb="FFFF0000"/>
        <rFont val="Calibri"/>
        <family val="2"/>
        <scheme val="minor"/>
      </rPr>
      <t>19 de octubre 2025.</t>
    </r>
  </si>
  <si>
    <r>
      <t xml:space="preserve">Vigencia: 23 enero 2025 al 23 de enero </t>
    </r>
    <r>
      <rPr>
        <sz val="10"/>
        <color theme="9"/>
        <rFont val="Calibri"/>
        <family val="2"/>
        <scheme val="minor"/>
      </rPr>
      <t>2028</t>
    </r>
  </si>
  <si>
    <r>
      <rPr>
        <b/>
        <sz val="10"/>
        <color theme="1"/>
        <rFont val="Calibri"/>
        <family val="2"/>
        <scheme val="minor"/>
      </rPr>
      <t>Preproducción y casting</t>
    </r>
    <r>
      <rPr>
        <sz val="10"/>
        <color theme="1"/>
        <rFont val="Calibri"/>
        <family val="2"/>
        <scheme val="minor"/>
      </rPr>
      <t xml:space="preserve">: del 16 de diciembre 2024 al 17 de febrero 2025
</t>
    </r>
    <r>
      <rPr>
        <b/>
        <sz val="10"/>
        <color theme="1"/>
        <rFont val="Calibri"/>
        <family val="2"/>
        <scheme val="minor"/>
      </rPr>
      <t xml:space="preserve">Rodaje: </t>
    </r>
    <r>
      <rPr>
        <sz val="10"/>
        <color theme="1"/>
        <rFont val="Calibri"/>
        <family val="2"/>
        <scheme val="minor"/>
      </rPr>
      <t xml:space="preserve">del 17 de febrero al 10 de abril  2025
</t>
    </r>
    <r>
      <rPr>
        <b/>
        <sz val="10"/>
        <color theme="1"/>
        <rFont val="Calibri"/>
        <family val="2"/>
        <scheme val="minor"/>
      </rPr>
      <t>Cierre</t>
    </r>
    <r>
      <rPr>
        <sz val="10"/>
        <color theme="1"/>
        <rFont val="Calibri"/>
        <family val="2"/>
        <scheme val="minor"/>
      </rPr>
      <t>: del 14 de abril al 16 de mayo 2025</t>
    </r>
  </si>
  <si>
    <r>
      <t xml:space="preserve">Enviar recordartorio de vencimiento el </t>
    </r>
    <r>
      <rPr>
        <sz val="10"/>
        <color theme="4"/>
        <rFont val="Calibri"/>
        <family val="2"/>
        <scheme val="minor"/>
      </rPr>
      <t>16 de enero 2026</t>
    </r>
    <r>
      <rPr>
        <sz val="10"/>
        <color theme="1"/>
        <rFont val="Calibri"/>
        <family val="2"/>
        <scheme val="minor"/>
      </rPr>
      <t>.</t>
    </r>
  </si>
  <si>
    <r>
      <t xml:space="preserve">Vigencia: 26 de febrero 2025 al 26 de feberero </t>
    </r>
    <r>
      <rPr>
        <sz val="10"/>
        <color theme="9"/>
        <rFont val="Calibri"/>
        <family val="2"/>
        <scheme val="minor"/>
      </rPr>
      <t>2026</t>
    </r>
  </si>
  <si>
    <r>
      <t>Vigencia: 03 de febrero 2025 al 03 de febrero</t>
    </r>
    <r>
      <rPr>
        <sz val="10"/>
        <color theme="9"/>
        <rFont val="Calibri"/>
        <family val="2"/>
        <scheme val="minor"/>
      </rPr>
      <t xml:space="preserve"> 2026.</t>
    </r>
  </si>
  <si>
    <r>
      <t>Vigencia: 29 de marzo 2025 al 29 de marzo</t>
    </r>
    <r>
      <rPr>
        <sz val="10"/>
        <color theme="9"/>
        <rFont val="Calibri"/>
        <family val="2"/>
        <scheme val="minor"/>
      </rPr>
      <t xml:space="preserve"> 2026.</t>
    </r>
  </si>
  <si>
    <r>
      <rPr>
        <b/>
        <sz val="10"/>
        <color theme="1"/>
        <rFont val="Calibri"/>
        <family val="2"/>
        <scheme val="minor"/>
      </rPr>
      <t>Preproducción:</t>
    </r>
    <r>
      <rPr>
        <sz val="10"/>
        <color theme="1"/>
        <rFont val="Calibri"/>
        <family val="2"/>
        <scheme val="minor"/>
      </rPr>
      <t xml:space="preserve"> 03/10/25 –04/05/25
</t>
    </r>
    <r>
      <rPr>
        <b/>
        <sz val="10"/>
        <color theme="1"/>
        <rFont val="Calibri"/>
        <family val="2"/>
        <scheme val="minor"/>
      </rPr>
      <t>Producción, Rodaje</t>
    </r>
    <r>
      <rPr>
        <sz val="10"/>
        <color theme="1"/>
        <rFont val="Calibri"/>
        <family val="2"/>
        <scheme val="minor"/>
      </rPr>
      <t xml:space="preserve">: 04/07/25-04/26/25                      </t>
    </r>
    <r>
      <rPr>
        <b/>
        <sz val="10"/>
        <color theme="1"/>
        <rFont val="Calibri"/>
        <family val="2"/>
        <scheme val="minor"/>
      </rPr>
      <t>Finalización estimada</t>
    </r>
    <r>
      <rPr>
        <sz val="10"/>
        <color theme="1"/>
        <rFont val="Calibri"/>
        <family val="2"/>
        <scheme val="minor"/>
      </rPr>
      <t xml:space="preserve"> de la copia master 7/9/25</t>
    </r>
  </si>
  <si>
    <r>
      <t>POST (</t>
    </r>
    <r>
      <rPr>
        <sz val="10"/>
        <color rgb="FFFF0000"/>
        <rFont val="Calibri"/>
        <family val="2"/>
        <scheme val="minor"/>
      </rPr>
      <t>ENVIAR CREDITOS</t>
    </r>
    <r>
      <rPr>
        <sz val="10"/>
        <color theme="1"/>
        <rFont val="Calibri"/>
        <family val="2"/>
        <scheme val="minor"/>
      </rPr>
      <t>)</t>
    </r>
  </si>
  <si>
    <r>
      <t xml:space="preserve">Enviar recordatorio de vencimiento el </t>
    </r>
    <r>
      <rPr>
        <sz val="10"/>
        <color theme="4"/>
        <rFont val="Calibri"/>
        <family val="2"/>
        <scheme val="minor"/>
      </rPr>
      <t>05 de mayo 2026</t>
    </r>
    <r>
      <rPr>
        <sz val="10"/>
        <color theme="1"/>
        <rFont val="Calibri"/>
        <family val="2"/>
        <scheme val="minor"/>
      </rPr>
      <t>.</t>
    </r>
  </si>
  <si>
    <r>
      <t xml:space="preserve">Vigencia: 24 de marzo 2025 al 05 de junio </t>
    </r>
    <r>
      <rPr>
        <sz val="10"/>
        <color theme="9"/>
        <rFont val="Calibri"/>
        <family val="2"/>
        <scheme val="minor"/>
      </rPr>
      <t>2026</t>
    </r>
  </si>
  <si>
    <r>
      <t xml:space="preserve">Vigencia: 17 de diciembre 2024 al 17 de diciembre </t>
    </r>
    <r>
      <rPr>
        <sz val="10"/>
        <color theme="9"/>
        <rFont val="Calibri"/>
        <family val="2"/>
        <scheme val="minor"/>
      </rPr>
      <t>2027.</t>
    </r>
  </si>
  <si>
    <r>
      <t>Vigencia: 05 de diciembre 2024 al 05 de diciembre</t>
    </r>
    <r>
      <rPr>
        <sz val="10"/>
        <color theme="9"/>
        <rFont val="Calibri"/>
        <family val="2"/>
        <scheme val="minor"/>
      </rPr>
      <t xml:space="preserve"> 2027</t>
    </r>
  </si>
  <si>
    <r>
      <rPr>
        <b/>
        <sz val="10"/>
        <color theme="1"/>
        <rFont val="Calibri"/>
        <family val="2"/>
        <scheme val="minor"/>
      </rPr>
      <t>Preproducción</t>
    </r>
    <r>
      <rPr>
        <sz val="10"/>
        <color theme="1"/>
        <rFont val="Calibri"/>
        <family val="2"/>
        <scheme val="minor"/>
      </rPr>
      <t xml:space="preserve">: DEL 03 DE MARZO
AL 03 DE MAYO DE
2025
</t>
    </r>
    <r>
      <rPr>
        <b/>
        <sz val="10"/>
        <color theme="1"/>
        <rFont val="Calibri"/>
        <family val="2"/>
        <scheme val="minor"/>
      </rPr>
      <t>Rodaje</t>
    </r>
    <r>
      <rPr>
        <sz val="10"/>
        <color theme="1"/>
        <rFont val="Calibri"/>
        <family val="2"/>
        <scheme val="minor"/>
      </rPr>
      <t xml:space="preserve">: DEL 05 DE MAYO AL
12 DE SEPTIEMBRE
DE 2025
</t>
    </r>
    <r>
      <rPr>
        <b/>
        <sz val="10"/>
        <color theme="1"/>
        <rFont val="Calibri"/>
        <family val="2"/>
        <scheme val="minor"/>
      </rPr>
      <t>Finalización estimada</t>
    </r>
    <r>
      <rPr>
        <sz val="10"/>
        <color theme="1"/>
        <rFont val="Calibri"/>
        <family val="2"/>
        <scheme val="minor"/>
      </rPr>
      <t xml:space="preserve"> de la
copia master
31 marzo 2026</t>
    </r>
  </si>
  <si>
    <r>
      <t>RODAJE (</t>
    </r>
    <r>
      <rPr>
        <sz val="10"/>
        <color rgb="FFFF0000"/>
        <rFont val="Calibri"/>
        <family val="2"/>
        <scheme val="minor"/>
      </rPr>
      <t>ENVIAR CREDITOS 01 DE SEPTIEMBRE</t>
    </r>
    <r>
      <rPr>
        <sz val="10"/>
        <color theme="1"/>
        <rFont val="Calibri"/>
        <family val="2"/>
        <scheme val="minor"/>
      </rPr>
      <t>)</t>
    </r>
  </si>
  <si>
    <r>
      <t xml:space="preserve">Vigencia: 25 de abril 2025 al 31 de marzo </t>
    </r>
    <r>
      <rPr>
        <sz val="10"/>
        <color theme="9"/>
        <rFont val="Calibri"/>
        <family val="2"/>
        <scheme val="minor"/>
      </rPr>
      <t>2026</t>
    </r>
  </si>
  <si>
    <r>
      <t xml:space="preserve">Vigencia: 28 de marzo 2025 al 28 de marzo </t>
    </r>
    <r>
      <rPr>
        <sz val="10"/>
        <color theme="9"/>
        <rFont val="Calibri"/>
        <family val="2"/>
        <scheme val="minor"/>
      </rPr>
      <t>2028</t>
    </r>
  </si>
  <si>
    <r>
      <t xml:space="preserve">Enviar recordatorio de vencimiento el </t>
    </r>
    <r>
      <rPr>
        <sz val="10"/>
        <color theme="4"/>
        <rFont val="Calibri"/>
        <family val="2"/>
        <scheme val="minor"/>
      </rPr>
      <t>02 de marzo 2026.</t>
    </r>
  </si>
  <si>
    <r>
      <rPr>
        <b/>
        <sz val="10"/>
        <color theme="1"/>
        <rFont val="Calibri"/>
        <family val="2"/>
        <scheme val="minor"/>
      </rPr>
      <t xml:space="preserve">Pre: </t>
    </r>
    <r>
      <rPr>
        <sz val="10"/>
        <color theme="1"/>
        <rFont val="Calibri"/>
        <family val="2"/>
        <scheme val="minor"/>
      </rPr>
      <t xml:space="preserve">20 febebrero al 16 de julio 2025                                                     </t>
    </r>
    <r>
      <rPr>
        <b/>
        <sz val="10"/>
        <color theme="1"/>
        <rFont val="Calibri"/>
        <family val="2"/>
        <scheme val="minor"/>
      </rPr>
      <t>Rodaje:</t>
    </r>
    <r>
      <rPr>
        <sz val="10"/>
        <color theme="1"/>
        <rFont val="Calibri"/>
        <family val="2"/>
        <scheme val="minor"/>
      </rPr>
      <t xml:space="preserve"> 21 de abril al 18 de junio 2025                                             </t>
    </r>
    <r>
      <rPr>
        <b/>
        <sz val="10"/>
        <color theme="1"/>
        <rFont val="Calibri"/>
        <family val="2"/>
        <scheme val="minor"/>
      </rPr>
      <t xml:space="preserve">Post: </t>
    </r>
    <r>
      <rPr>
        <sz val="10"/>
        <color theme="1"/>
        <rFont val="Calibri"/>
        <family val="2"/>
        <scheme val="minor"/>
      </rPr>
      <t>18 de junio 2025 al 20 de enero 2026.</t>
    </r>
  </si>
  <si>
    <r>
      <t xml:space="preserve">Vigencia: 02 de abril 2025 al 02 de abril </t>
    </r>
    <r>
      <rPr>
        <sz val="10"/>
        <color theme="9"/>
        <rFont val="Calibri"/>
        <family val="2"/>
        <scheme val="minor"/>
      </rPr>
      <t>2026</t>
    </r>
  </si>
  <si>
    <r>
      <rPr>
        <b/>
        <sz val="10"/>
        <color theme="1"/>
        <rFont val="Calibri"/>
        <family val="2"/>
        <scheme val="minor"/>
      </rPr>
      <t>PREPRODUCCIÓN:</t>
    </r>
    <r>
      <rPr>
        <sz val="10"/>
        <color theme="1"/>
        <rFont val="Calibri"/>
        <family val="2"/>
        <scheme val="minor"/>
      </rPr>
      <t xml:space="preserve"> del 20 de febrero al 16 de julio 2025,                                                              </t>
    </r>
    <r>
      <rPr>
        <b/>
        <sz val="10"/>
        <color theme="1"/>
        <rFont val="Calibri"/>
        <family val="2"/>
        <scheme val="minor"/>
      </rPr>
      <t xml:space="preserve">RODAJE: </t>
    </r>
    <r>
      <rPr>
        <sz val="10"/>
        <color theme="1"/>
        <rFont val="Calibri"/>
        <family val="2"/>
        <scheme val="minor"/>
      </rPr>
      <t xml:space="preserve">del 21 de abril al 18 de junio 2025,                                                </t>
    </r>
    <r>
      <rPr>
        <b/>
        <sz val="10"/>
        <color theme="1"/>
        <rFont val="Calibri"/>
        <family val="2"/>
        <scheme val="minor"/>
      </rPr>
      <t>POSTPRODUCCIÓN:</t>
    </r>
    <r>
      <rPr>
        <sz val="10"/>
        <color theme="1"/>
        <rFont val="Calibri"/>
        <family val="2"/>
        <scheme val="minor"/>
      </rPr>
      <t>18 de junio 2025 al 20 de enero 2025.</t>
    </r>
  </si>
  <si>
    <r>
      <t>Enviar recordatorio de vencimiento el</t>
    </r>
    <r>
      <rPr>
        <sz val="10"/>
        <color rgb="FFFF0000"/>
        <rFont val="Calibri"/>
        <family val="2"/>
        <scheme val="minor"/>
      </rPr>
      <t xml:space="preserve"> </t>
    </r>
    <r>
      <rPr>
        <sz val="10"/>
        <color theme="4"/>
        <rFont val="Calibri"/>
        <family val="2"/>
        <scheme val="minor"/>
      </rPr>
      <t xml:space="preserve">28 de feb 2026. </t>
    </r>
  </si>
  <si>
    <r>
      <rPr>
        <b/>
        <sz val="10"/>
        <color theme="1"/>
        <rFont val="Calibri"/>
        <family val="2"/>
        <scheme val="minor"/>
      </rPr>
      <t>PRE</t>
    </r>
    <r>
      <rPr>
        <sz val="10"/>
        <color theme="1"/>
        <rFont val="Calibri"/>
        <family val="2"/>
        <scheme val="minor"/>
      </rPr>
      <t xml:space="preserve">: 31 DE MARZO AL 26 DE ABRIL 2025                                    </t>
    </r>
    <r>
      <rPr>
        <b/>
        <sz val="10"/>
        <color theme="1"/>
        <rFont val="Calibri"/>
        <family val="2"/>
        <scheme val="minor"/>
      </rPr>
      <t>RODAJE</t>
    </r>
    <r>
      <rPr>
        <sz val="10"/>
        <color theme="1"/>
        <rFont val="Calibri"/>
        <family val="2"/>
        <scheme val="minor"/>
      </rPr>
      <t xml:space="preserve">: 31 DE AMRZO AL 26 DE ABRIL 2025                                   </t>
    </r>
    <r>
      <rPr>
        <b/>
        <sz val="10"/>
        <color theme="1"/>
        <rFont val="Calibri"/>
        <family val="2"/>
        <scheme val="minor"/>
      </rPr>
      <t>POST PRODUCCIÓN:</t>
    </r>
    <r>
      <rPr>
        <sz val="10"/>
        <color theme="1"/>
        <rFont val="Calibri"/>
        <family val="2"/>
        <scheme val="minor"/>
      </rPr>
      <t xml:space="preserve"> NA</t>
    </r>
  </si>
  <si>
    <r>
      <t>Vigencia: 31 de marzo 2025 al 31 de marzo</t>
    </r>
    <r>
      <rPr>
        <sz val="10"/>
        <color theme="9"/>
        <rFont val="Calibri"/>
        <family val="2"/>
        <scheme val="minor"/>
      </rPr>
      <t xml:space="preserve"> 2026</t>
    </r>
  </si>
  <si>
    <r>
      <rPr>
        <b/>
        <sz val="10"/>
        <color theme="1"/>
        <rFont val="Calibri"/>
        <family val="2"/>
        <scheme val="minor"/>
      </rPr>
      <t xml:space="preserve">Preproducción: </t>
    </r>
    <r>
      <rPr>
        <sz val="10"/>
        <color theme="1"/>
        <rFont val="Calibri"/>
        <family val="2"/>
        <scheme val="minor"/>
      </rPr>
      <t xml:space="preserve">10 DE MARZO 2026 AL 29 DE MARZO 2025
</t>
    </r>
    <r>
      <rPr>
        <b/>
        <sz val="10"/>
        <color theme="1"/>
        <rFont val="Calibri"/>
        <family val="2"/>
        <scheme val="minor"/>
      </rPr>
      <t>Rodaje</t>
    </r>
    <r>
      <rPr>
        <sz val="10"/>
        <color theme="1"/>
        <rFont val="Calibri"/>
        <family val="2"/>
        <scheme val="minor"/>
      </rPr>
      <t xml:space="preserve">: 31 DE MARZO 2025 AL 03 DE MAYO 2025
</t>
    </r>
    <r>
      <rPr>
        <b/>
        <sz val="10"/>
        <color theme="1"/>
        <rFont val="Calibri"/>
        <family val="2"/>
        <scheme val="minor"/>
      </rPr>
      <t xml:space="preserve">Cierre: </t>
    </r>
    <r>
      <rPr>
        <sz val="10"/>
        <color theme="1"/>
        <rFont val="Calibri"/>
        <family val="2"/>
        <scheme val="minor"/>
      </rPr>
      <t>5 AL 7 DE MAYO 2025</t>
    </r>
  </si>
  <si>
    <r>
      <t xml:space="preserve">Enviar recordatorio de renovación </t>
    </r>
    <r>
      <rPr>
        <sz val="10"/>
        <color theme="4"/>
        <rFont val="Calibri"/>
        <family val="2"/>
        <scheme val="minor"/>
      </rPr>
      <t>18 de febrero 2026</t>
    </r>
    <r>
      <rPr>
        <sz val="10"/>
        <color theme="1"/>
        <rFont val="Calibri"/>
        <family val="2"/>
        <scheme val="minor"/>
      </rPr>
      <t>.</t>
    </r>
  </si>
  <si>
    <r>
      <t xml:space="preserve">Vigencia: 18 de marzo 2025 al 18 de marzo </t>
    </r>
    <r>
      <rPr>
        <sz val="10"/>
        <color theme="9"/>
        <rFont val="Calibri"/>
        <family val="2"/>
        <scheme val="minor"/>
      </rPr>
      <t>2026</t>
    </r>
  </si>
  <si>
    <r>
      <t xml:space="preserve">Vigencia: 24 de abril 2025 al 24 de abril </t>
    </r>
    <r>
      <rPr>
        <sz val="10"/>
        <color theme="9"/>
        <rFont val="Calibri"/>
        <family val="2"/>
        <scheme val="minor"/>
      </rPr>
      <t>2026</t>
    </r>
  </si>
  <si>
    <r>
      <t>Vigencia: 11 de marzo 2025 al 11 marzo</t>
    </r>
    <r>
      <rPr>
        <sz val="10"/>
        <color theme="9"/>
        <rFont val="Calibri"/>
        <family val="2"/>
        <scheme val="minor"/>
      </rPr>
      <t xml:space="preserve"> 2026</t>
    </r>
  </si>
  <si>
    <r>
      <t>Vigencia: 11 marzo 2025 al 11 de marzo</t>
    </r>
    <r>
      <rPr>
        <sz val="10"/>
        <color theme="9"/>
        <rFont val="Calibri"/>
        <family val="2"/>
        <scheme val="minor"/>
      </rPr>
      <t xml:space="preserve"> 2026</t>
    </r>
  </si>
  <si>
    <r>
      <t>Vigencia: 04 de marzo 2025 al 04 de marzo</t>
    </r>
    <r>
      <rPr>
        <sz val="10"/>
        <color theme="9"/>
        <rFont val="Calibri"/>
        <family val="2"/>
        <scheme val="minor"/>
      </rPr>
      <t xml:space="preserve"> 2026</t>
    </r>
  </si>
  <si>
    <r>
      <t>Enviar recordatorio de vencimiento el</t>
    </r>
    <r>
      <rPr>
        <sz val="10"/>
        <color rgb="FFFF0000"/>
        <rFont val="Calibri"/>
        <family val="2"/>
        <scheme val="minor"/>
      </rPr>
      <t xml:space="preserve"> </t>
    </r>
    <r>
      <rPr>
        <sz val="10"/>
        <color theme="4"/>
        <rFont val="Calibri"/>
        <family val="2"/>
        <scheme val="minor"/>
      </rPr>
      <t>18 de abril 2026.</t>
    </r>
  </si>
  <si>
    <r>
      <t xml:space="preserve">Vigencia: 18 de mayo 2025 al 18 de mayo </t>
    </r>
    <r>
      <rPr>
        <sz val="10"/>
        <color theme="9"/>
        <rFont val="Calibri"/>
        <family val="2"/>
        <scheme val="minor"/>
      </rPr>
      <t>2026</t>
    </r>
  </si>
  <si>
    <r>
      <t xml:space="preserve">Enviar recordatorio de renocación </t>
    </r>
    <r>
      <rPr>
        <sz val="10"/>
        <color theme="4"/>
        <rFont val="Calibri"/>
        <family val="2"/>
        <scheme val="minor"/>
      </rPr>
      <t>23 de marzo 2026</t>
    </r>
    <r>
      <rPr>
        <sz val="10"/>
        <color theme="1"/>
        <rFont val="Calibri"/>
        <family val="2"/>
        <scheme val="minor"/>
      </rPr>
      <t>.</t>
    </r>
  </si>
  <si>
    <r>
      <rPr>
        <b/>
        <sz val="10"/>
        <color theme="1"/>
        <rFont val="Calibri"/>
        <family val="2"/>
        <scheme val="minor"/>
      </rPr>
      <t>PREPRODUCCIÓN:</t>
    </r>
    <r>
      <rPr>
        <sz val="10"/>
        <color theme="1"/>
        <rFont val="Calibri"/>
        <family val="2"/>
        <scheme val="minor"/>
      </rPr>
      <t xml:space="preserve"> Del 17 de marzo al 17 de mayo 2025.                                                          </t>
    </r>
    <r>
      <rPr>
        <b/>
        <sz val="10"/>
        <color theme="1"/>
        <rFont val="Calibri"/>
        <family val="2"/>
        <scheme val="minor"/>
      </rPr>
      <t>RODAJE</t>
    </r>
    <r>
      <rPr>
        <sz val="10"/>
        <color theme="1"/>
        <rFont val="Calibri"/>
        <family val="2"/>
        <scheme val="minor"/>
      </rPr>
      <t xml:space="preserve">: Del 19 de mayo al 27 de junio 2025,                                                                     </t>
    </r>
    <r>
      <rPr>
        <b/>
        <sz val="10"/>
        <color theme="1"/>
        <rFont val="Calibri"/>
        <family val="2"/>
        <scheme val="minor"/>
      </rPr>
      <t xml:space="preserve">POST-PRODUCCIÓN: </t>
    </r>
    <r>
      <rPr>
        <sz val="10"/>
        <color theme="1"/>
        <rFont val="Calibri"/>
        <family val="2"/>
        <scheme val="minor"/>
      </rPr>
      <t xml:space="preserve"> Del 19 de mayo al 03 de octubre 2025.</t>
    </r>
  </si>
  <si>
    <r>
      <t xml:space="preserve">Vigencia: 23 de abril 2025 al 23 de abril </t>
    </r>
    <r>
      <rPr>
        <sz val="10"/>
        <color theme="9"/>
        <rFont val="Calibri"/>
        <family val="2"/>
        <scheme val="minor"/>
      </rPr>
      <t>2026</t>
    </r>
  </si>
  <si>
    <r>
      <rPr>
        <b/>
        <sz val="10"/>
        <color theme="1"/>
        <rFont val="Calibri"/>
        <family val="2"/>
        <scheme val="minor"/>
      </rPr>
      <t>Preproducción</t>
    </r>
    <r>
      <rPr>
        <sz val="10"/>
        <color theme="1"/>
        <rFont val="Calibri"/>
        <family val="2"/>
        <scheme val="minor"/>
      </rPr>
      <t xml:space="preserve">: 17 de marzo de 2025
</t>
    </r>
    <r>
      <rPr>
        <b/>
        <sz val="10"/>
        <color theme="1"/>
        <rFont val="Calibri"/>
        <family val="2"/>
        <scheme val="minor"/>
      </rPr>
      <t>Rodaje</t>
    </r>
    <r>
      <rPr>
        <sz val="10"/>
        <color theme="1"/>
        <rFont val="Calibri"/>
        <family val="2"/>
        <scheme val="minor"/>
      </rPr>
      <t xml:space="preserve">: 19 de mayo de 2025
</t>
    </r>
    <r>
      <rPr>
        <b/>
        <sz val="10"/>
        <color theme="1"/>
        <rFont val="Calibri"/>
        <family val="2"/>
        <scheme val="minor"/>
      </rPr>
      <t>Cierre:</t>
    </r>
    <r>
      <rPr>
        <sz val="10"/>
        <color theme="1"/>
        <rFont val="Calibri"/>
        <family val="2"/>
        <scheme val="minor"/>
      </rPr>
      <t xml:space="preserve">  27 de junio de 2025</t>
    </r>
  </si>
  <si>
    <r>
      <t xml:space="preserve">Enviar aviso de cobro 2-2 el </t>
    </r>
    <r>
      <rPr>
        <sz val="10"/>
        <color rgb="FFFF0000"/>
        <rFont val="Calibri"/>
        <family val="2"/>
        <scheme val="minor"/>
      </rPr>
      <t>18 de octubre 2025</t>
    </r>
    <r>
      <rPr>
        <sz val="10"/>
        <color theme="1"/>
        <rFont val="Calibri"/>
        <family val="2"/>
        <scheme val="minor"/>
      </rPr>
      <t>.</t>
    </r>
  </si>
  <si>
    <r>
      <t xml:space="preserve">Vigencia: 13 de mayo 2025 al 13 de mayo </t>
    </r>
    <r>
      <rPr>
        <sz val="10"/>
        <color theme="9"/>
        <rFont val="Calibri"/>
        <family val="2"/>
        <scheme val="minor"/>
      </rPr>
      <t>2026</t>
    </r>
  </si>
  <si>
    <r>
      <t xml:space="preserve">Vigencia: 23 de mayo 2025 al 23 de mayo </t>
    </r>
    <r>
      <rPr>
        <sz val="10"/>
        <color theme="9"/>
        <rFont val="Calibri"/>
        <family val="2"/>
        <scheme val="minor"/>
      </rPr>
      <t>2026</t>
    </r>
  </si>
  <si>
    <r>
      <t>Falta allianz nos proporcionen las facturas ya que no aparecen en el porta</t>
    </r>
    <r>
      <rPr>
        <sz val="10"/>
        <color rgb="FFFF0000"/>
        <rFont val="Calibri"/>
        <family val="2"/>
        <scheme val="minor"/>
      </rPr>
      <t>l recordar 01 de septiembre 2025</t>
    </r>
  </si>
  <si>
    <r>
      <t xml:space="preserve">Vigencia: 13 de mayo 2025 al 13 de noviembre </t>
    </r>
    <r>
      <rPr>
        <sz val="10"/>
        <color rgb="FF92D050"/>
        <rFont val="Calibri"/>
        <family val="2"/>
        <scheme val="minor"/>
      </rPr>
      <t>2026</t>
    </r>
  </si>
  <si>
    <r>
      <t xml:space="preserve">Vigencia: 26 de mayo 2025 al 26 de </t>
    </r>
    <r>
      <rPr>
        <sz val="10"/>
        <color rgb="FF92D050"/>
        <rFont val="Calibri"/>
        <family val="2"/>
        <scheme val="minor"/>
      </rPr>
      <t>mayo 2026</t>
    </r>
  </si>
  <si>
    <r>
      <t xml:space="preserve">Vigencia: 30 de abril 2025 al 30 de abril </t>
    </r>
    <r>
      <rPr>
        <sz val="10"/>
        <color theme="9"/>
        <rFont val="Calibri"/>
        <family val="2"/>
        <scheme val="minor"/>
      </rPr>
      <t>2026</t>
    </r>
  </si>
  <si>
    <r>
      <rPr>
        <b/>
        <sz val="10"/>
        <color theme="1"/>
        <rFont val="Calibri"/>
        <family val="2"/>
        <scheme val="minor"/>
      </rPr>
      <t xml:space="preserve">Pre: </t>
    </r>
    <r>
      <rPr>
        <sz val="10"/>
        <color theme="1"/>
        <rFont val="Calibri"/>
        <family val="2"/>
        <scheme val="minor"/>
      </rPr>
      <t xml:space="preserve">05 de mayo 2025 al 15 de junio 2025                                         </t>
    </r>
    <r>
      <rPr>
        <b/>
        <sz val="10"/>
        <color theme="1"/>
        <rFont val="Calibri"/>
        <family val="2"/>
        <scheme val="minor"/>
      </rPr>
      <t>Rodaje</t>
    </r>
    <r>
      <rPr>
        <sz val="10"/>
        <color theme="1"/>
        <rFont val="Calibri"/>
        <family val="2"/>
        <scheme val="minor"/>
      </rPr>
      <t xml:space="preserve">: 16 de junio al 02 de julio 2025                                             </t>
    </r>
    <r>
      <rPr>
        <b/>
        <sz val="10"/>
        <color theme="1"/>
        <rFont val="Calibri"/>
        <family val="2"/>
        <scheme val="minor"/>
      </rPr>
      <t xml:space="preserve"> Post: </t>
    </r>
    <r>
      <rPr>
        <sz val="10"/>
        <color theme="1"/>
        <rFont val="Calibri"/>
        <family val="2"/>
        <scheme val="minor"/>
      </rPr>
      <t xml:space="preserve"> 01 al 31 de julio 2025                                                                                       </t>
    </r>
  </si>
  <si>
    <r>
      <t>Vigencia: 02 de junio 2025 al 02 de junio</t>
    </r>
    <r>
      <rPr>
        <sz val="10"/>
        <color theme="9"/>
        <rFont val="Calibri"/>
        <family val="2"/>
        <scheme val="minor"/>
      </rPr>
      <t xml:space="preserve"> 2026</t>
    </r>
  </si>
  <si>
    <r>
      <rPr>
        <b/>
        <sz val="10"/>
        <color theme="1"/>
        <rFont val="Calibri"/>
        <family val="2"/>
        <scheme val="minor"/>
      </rPr>
      <t>Preproducción –</t>
    </r>
    <r>
      <rPr>
        <sz val="10"/>
        <color theme="1"/>
        <rFont val="Calibri"/>
        <family val="2"/>
        <scheme val="minor"/>
      </rPr>
      <t xml:space="preserve"> del 5 de mayo al 15 de junio de 2025
</t>
    </r>
    <r>
      <rPr>
        <b/>
        <sz val="10"/>
        <color theme="1"/>
        <rFont val="Calibri"/>
        <family val="2"/>
        <scheme val="minor"/>
      </rPr>
      <t>Rodaje –</t>
    </r>
    <r>
      <rPr>
        <sz val="10"/>
        <color theme="1"/>
        <rFont val="Calibri"/>
        <family val="2"/>
        <scheme val="minor"/>
      </rPr>
      <t xml:space="preserve"> del 16 al 30 de junio de 2025
</t>
    </r>
    <r>
      <rPr>
        <b/>
        <sz val="10"/>
        <color theme="1"/>
        <rFont val="Calibri"/>
        <family val="2"/>
        <scheme val="minor"/>
      </rPr>
      <t xml:space="preserve">Cierre – </t>
    </r>
    <r>
      <rPr>
        <sz val="10"/>
        <color theme="1"/>
        <rFont val="Calibri"/>
        <family val="2"/>
        <scheme val="minor"/>
      </rPr>
      <t xml:space="preserve">del 1 al 31 de julio 2025                                         </t>
    </r>
  </si>
  <si>
    <r>
      <rPr>
        <b/>
        <sz val="10"/>
        <color theme="1"/>
        <rFont val="Calibri"/>
        <family val="2"/>
        <scheme val="minor"/>
      </rPr>
      <t>Pre:</t>
    </r>
    <r>
      <rPr>
        <sz val="10"/>
        <color theme="1"/>
        <rFont val="Calibri"/>
        <family val="2"/>
        <scheme val="minor"/>
      </rPr>
      <t xml:space="preserve"> 23 de junio al 01 de septiembre 2025          </t>
    </r>
    <r>
      <rPr>
        <b/>
        <sz val="10"/>
        <color theme="1"/>
        <rFont val="Calibri"/>
        <family val="2"/>
        <scheme val="minor"/>
      </rPr>
      <t xml:space="preserve">            Rodaje:</t>
    </r>
    <r>
      <rPr>
        <sz val="10"/>
        <color theme="1"/>
        <rFont val="Calibri"/>
        <family val="2"/>
        <scheme val="minor"/>
      </rPr>
      <t xml:space="preserve"> 01 de septiembre al 06 de noviembre 2025                                                                                </t>
    </r>
    <r>
      <rPr>
        <b/>
        <sz val="10"/>
        <color theme="1"/>
        <rFont val="Calibri"/>
        <family val="2"/>
        <scheme val="minor"/>
      </rPr>
      <t>Post:</t>
    </r>
    <r>
      <rPr>
        <sz val="10"/>
        <color theme="1"/>
        <rFont val="Calibri"/>
        <family val="2"/>
        <scheme val="minor"/>
      </rPr>
      <t xml:space="preserve"> 01 de septiembre 2025 a noviembre 2026</t>
    </r>
  </si>
  <si>
    <r>
      <t>PREPRODUCCIÓN (</t>
    </r>
    <r>
      <rPr>
        <sz val="10"/>
        <color rgb="FFFF0000"/>
        <rFont val="Calibri"/>
        <family val="2"/>
        <scheme val="minor"/>
      </rPr>
      <t>ENVIAR CRÉDITOS 01 DE SEPTIEMBRE</t>
    </r>
    <r>
      <rPr>
        <sz val="10"/>
        <color theme="1"/>
        <rFont val="Calibri"/>
        <family val="2"/>
        <scheme val="minor"/>
      </rPr>
      <t xml:space="preserve">) </t>
    </r>
  </si>
  <si>
    <r>
      <t xml:space="preserve">Vigencia: 23 de junio 2025 al 23 de junio </t>
    </r>
    <r>
      <rPr>
        <sz val="10"/>
        <color theme="9"/>
        <rFont val="Calibri"/>
        <family val="2"/>
        <scheme val="minor"/>
      </rPr>
      <t>2026</t>
    </r>
  </si>
  <si>
    <r>
      <t>Enviar recordatorio de vencimiendo</t>
    </r>
    <r>
      <rPr>
        <sz val="10"/>
        <color rgb="FFFF0000"/>
        <rFont val="Calibri"/>
        <family val="2"/>
        <scheme val="minor"/>
      </rPr>
      <t xml:space="preserve"> 06 de noviembre 2025.</t>
    </r>
  </si>
  <si>
    <r>
      <rPr>
        <b/>
        <sz val="10"/>
        <color theme="1"/>
        <rFont val="Calibri"/>
        <family val="2"/>
        <scheme val="minor"/>
      </rPr>
      <t>Preproducción</t>
    </r>
    <r>
      <rPr>
        <sz val="10"/>
        <color theme="1"/>
        <rFont val="Calibri"/>
        <family val="2"/>
        <scheme val="minor"/>
      </rPr>
      <t xml:space="preserve">: 23 de Junio 2025 a 1 de Septiembre 2025
</t>
    </r>
    <r>
      <rPr>
        <b/>
        <sz val="10"/>
        <color theme="1"/>
        <rFont val="Calibri"/>
        <family val="2"/>
        <scheme val="minor"/>
      </rPr>
      <t>Rodaje</t>
    </r>
    <r>
      <rPr>
        <sz val="10"/>
        <color theme="1"/>
        <rFont val="Calibri"/>
        <family val="2"/>
        <scheme val="minor"/>
      </rPr>
      <t xml:space="preserve">: 1 de Septiembre de 2025 a 6 de Noviembre de 2025.
</t>
    </r>
    <r>
      <rPr>
        <b/>
        <sz val="10"/>
        <color theme="1"/>
        <rFont val="Calibri"/>
        <family val="2"/>
        <scheme val="minor"/>
      </rPr>
      <t>Cierre</t>
    </r>
    <r>
      <rPr>
        <sz val="10"/>
        <color theme="1"/>
        <rFont val="Calibri"/>
        <family val="2"/>
        <scheme val="minor"/>
      </rPr>
      <t>: 2 semanas</t>
    </r>
  </si>
  <si>
    <r>
      <t xml:space="preserve">Vigencia: 20 de mayo 2025 al 20 de mayo </t>
    </r>
    <r>
      <rPr>
        <sz val="10"/>
        <color theme="9"/>
        <rFont val="Calibri"/>
        <family val="2"/>
        <scheme val="minor"/>
      </rPr>
      <t>2026</t>
    </r>
  </si>
  <si>
    <r>
      <t>Vigencia: 30 mayo 2025 al 30 de mayo</t>
    </r>
    <r>
      <rPr>
        <sz val="10"/>
        <color theme="9"/>
        <rFont val="Calibri"/>
        <family val="2"/>
        <scheme val="minor"/>
      </rPr>
      <t xml:space="preserve"> 2026</t>
    </r>
  </si>
  <si>
    <r>
      <t xml:space="preserve">Enviar créditos </t>
    </r>
    <r>
      <rPr>
        <sz val="10"/>
        <color rgb="FFFF0000"/>
        <rFont val="Calibri"/>
        <family val="2"/>
        <scheme val="minor"/>
      </rPr>
      <t>10 cotubre 2025.</t>
    </r>
  </si>
  <si>
    <r>
      <rPr>
        <b/>
        <sz val="10"/>
        <color theme="1"/>
        <rFont val="Calibri"/>
        <family val="2"/>
        <scheme val="minor"/>
      </rPr>
      <t>Preproducción</t>
    </r>
    <r>
      <rPr>
        <sz val="10"/>
        <color theme="1"/>
        <rFont val="Calibri"/>
        <family val="2"/>
        <scheme val="minor"/>
      </rPr>
      <t xml:space="preserve">: 7 al 29 de Julio de 2025
</t>
    </r>
    <r>
      <rPr>
        <b/>
        <sz val="10"/>
        <color theme="1"/>
        <rFont val="Calibri"/>
        <family val="2"/>
        <scheme val="minor"/>
      </rPr>
      <t>Producción,</t>
    </r>
    <r>
      <rPr>
        <sz val="10"/>
        <color theme="1"/>
        <rFont val="Calibri"/>
        <family val="2"/>
        <scheme val="minor"/>
      </rPr>
      <t xml:space="preserve"> Rodaje: 30 y 31 de Julio de 2025
</t>
    </r>
    <r>
      <rPr>
        <b/>
        <sz val="10"/>
        <color theme="1"/>
        <rFont val="Calibri"/>
        <family val="2"/>
        <scheme val="minor"/>
      </rPr>
      <t>Finalización estimada</t>
    </r>
    <r>
      <rPr>
        <sz val="10"/>
        <color theme="1"/>
        <rFont val="Calibri"/>
        <family val="2"/>
        <scheme val="minor"/>
      </rPr>
      <t xml:space="preserve"> de la copia master. 18 semanas
</t>
    </r>
  </si>
  <si>
    <r>
      <t>Vigencia: 11 de marzo 2025 al 11 de marzo</t>
    </r>
    <r>
      <rPr>
        <sz val="10"/>
        <color theme="9"/>
        <rFont val="Calibri"/>
        <family val="2"/>
        <scheme val="minor"/>
      </rPr>
      <t xml:space="preserve"> 2026</t>
    </r>
  </si>
  <si>
    <r>
      <t xml:space="preserve">Enviar recordatorio de vencimiento el </t>
    </r>
    <r>
      <rPr>
        <sz val="10"/>
        <color rgb="FFFF0000"/>
        <rFont val="Calibri"/>
        <family val="2"/>
        <scheme val="minor"/>
      </rPr>
      <t>05 de noviembre 2025.</t>
    </r>
  </si>
  <si>
    <r>
      <rPr>
        <b/>
        <sz val="10"/>
        <color theme="1"/>
        <rFont val="Calibri"/>
        <family val="2"/>
        <scheme val="minor"/>
      </rPr>
      <t xml:space="preserve">Filmpackage:     </t>
    </r>
    <r>
      <rPr>
        <sz val="10"/>
        <color theme="1"/>
        <rFont val="Calibri"/>
        <family val="2"/>
        <scheme val="minor"/>
      </rPr>
      <t xml:space="preserve">                                                                    Pre: 26 de mayo al 27 de julio 2025                                                    </t>
    </r>
    <r>
      <rPr>
        <b/>
        <sz val="10"/>
        <color theme="1"/>
        <rFont val="Calibri"/>
        <family val="2"/>
        <scheme val="minor"/>
      </rPr>
      <t>Rodaje:</t>
    </r>
    <r>
      <rPr>
        <sz val="10"/>
        <color theme="1"/>
        <rFont val="Calibri"/>
        <family val="2"/>
        <scheme val="minor"/>
      </rPr>
      <t xml:space="preserve"> 28 de julio al 08 de noviembre 2025 Post: pendiente.                                                                      </t>
    </r>
    <r>
      <rPr>
        <b/>
        <sz val="10"/>
        <color theme="1"/>
        <rFont val="Calibri"/>
        <family val="2"/>
        <scheme val="minor"/>
      </rPr>
      <t>Riesgos Profesionales:</t>
    </r>
    <r>
      <rPr>
        <sz val="10"/>
        <color theme="1"/>
        <rFont val="Calibri"/>
        <family val="2"/>
        <scheme val="minor"/>
      </rPr>
      <t xml:space="preserve">                                                           •Preproducción 10 semanas (19 de mayo al 28 de julio 2025)
</t>
    </r>
    <r>
      <rPr>
        <b/>
        <sz val="10"/>
        <color theme="1"/>
        <rFont val="Calibri"/>
        <family val="2"/>
        <scheme val="minor"/>
      </rPr>
      <t>•Rodaj</t>
    </r>
    <r>
      <rPr>
        <sz val="10"/>
        <color theme="1"/>
        <rFont val="Calibri"/>
        <family val="2"/>
        <scheme val="minor"/>
      </rPr>
      <t>e 15 semanas  (28 de julio al 8 de noviembre 2025)
•</t>
    </r>
    <r>
      <rPr>
        <b/>
        <sz val="10"/>
        <color theme="1"/>
        <rFont val="Calibri"/>
        <family val="2"/>
        <scheme val="minor"/>
      </rPr>
      <t xml:space="preserve">Cierre </t>
    </r>
    <r>
      <rPr>
        <sz val="10"/>
        <color theme="1"/>
        <rFont val="Calibri"/>
        <family val="2"/>
        <scheme val="minor"/>
      </rPr>
      <t xml:space="preserve">4 semanas (10 de Noviembre al 6 de diciembre 2025)                                                                                       </t>
    </r>
  </si>
  <si>
    <r>
      <t xml:space="preserve">Vigencia:  25 de junio 2025 al 25 de junio </t>
    </r>
    <r>
      <rPr>
        <sz val="10"/>
        <color theme="9"/>
        <rFont val="Calibri"/>
        <family val="2"/>
        <scheme val="minor"/>
      </rPr>
      <t>2026</t>
    </r>
  </si>
  <si>
    <r>
      <t xml:space="preserve">Se envió workers a Allianz para bajar la prima, recordar </t>
    </r>
    <r>
      <rPr>
        <sz val="10"/>
        <color rgb="FFFF0000"/>
        <rFont val="Calibri"/>
        <family val="2"/>
        <scheme val="minor"/>
      </rPr>
      <t>02 de septiembre 2025</t>
    </r>
  </si>
  <si>
    <r>
      <rPr>
        <b/>
        <sz val="10"/>
        <color theme="1"/>
        <rFont val="Calibri"/>
        <family val="2"/>
        <scheme val="minor"/>
      </rPr>
      <t xml:space="preserve">Pre: </t>
    </r>
    <r>
      <rPr>
        <sz val="10"/>
        <color theme="1"/>
        <rFont val="Calibri"/>
        <family val="2"/>
        <scheme val="minor"/>
      </rPr>
      <t xml:space="preserve">25 de agosto 2025 al 28 de septiembre 2025                           </t>
    </r>
    <r>
      <rPr>
        <b/>
        <sz val="10"/>
        <color theme="1"/>
        <rFont val="Calibri"/>
        <family val="2"/>
        <scheme val="minor"/>
      </rPr>
      <t>Rodaje:</t>
    </r>
    <r>
      <rPr>
        <sz val="10"/>
        <color theme="1"/>
        <rFont val="Calibri"/>
        <family val="2"/>
        <scheme val="minor"/>
      </rPr>
      <t xml:space="preserve"> 29 de septyiembre al 01 de noviembre 2025                 </t>
    </r>
    <r>
      <rPr>
        <b/>
        <sz val="10"/>
        <color theme="1"/>
        <rFont val="Calibri"/>
        <family val="2"/>
        <scheme val="minor"/>
      </rPr>
      <t xml:space="preserve">CIerre: </t>
    </r>
    <r>
      <rPr>
        <sz val="10"/>
        <color theme="1"/>
        <rFont val="Calibri"/>
        <family val="2"/>
        <scheme val="minor"/>
      </rPr>
      <t>02 de noviembre al 16 de noviembre.</t>
    </r>
  </si>
  <si>
    <r>
      <t xml:space="preserve">Se envió recordatorio </t>
    </r>
    <r>
      <rPr>
        <sz val="10"/>
        <color rgb="FFFF0000"/>
        <rFont val="Calibri"/>
        <family val="2"/>
        <scheme val="minor"/>
      </rPr>
      <t>18 de agosto 2025, enviar recordatorio en 15 días.</t>
    </r>
  </si>
  <si>
    <r>
      <t>Se le envión la Información a Xenia de Sura y recordar el 2</t>
    </r>
    <r>
      <rPr>
        <sz val="10"/>
        <color rgb="FFFF0000"/>
        <rFont val="Calibri"/>
        <family val="2"/>
        <scheme val="minor"/>
      </rPr>
      <t>8 de julio 2025</t>
    </r>
  </si>
  <si>
    <r>
      <t xml:space="preserve">El cliente nos solicitó emitir recordar a Guille martes </t>
    </r>
    <r>
      <rPr>
        <sz val="10"/>
        <color rgb="FFFF0000"/>
        <rFont val="Calibri"/>
        <family val="2"/>
        <scheme val="minor"/>
      </rPr>
      <t>09 de serptiembre 2025</t>
    </r>
  </si>
  <si>
    <r>
      <rPr>
        <b/>
        <sz val="10"/>
        <color theme="1"/>
        <rFont val="Calibri"/>
        <family val="2"/>
        <scheme val="minor"/>
      </rPr>
      <t>Pre:</t>
    </r>
    <r>
      <rPr>
        <sz val="10"/>
        <color theme="1"/>
        <rFont val="Calibri"/>
        <family val="2"/>
        <scheme val="minor"/>
      </rPr>
      <t xml:space="preserve"> Julio 14 2025 al octubre 2025,                                                  </t>
    </r>
    <r>
      <rPr>
        <b/>
        <sz val="10"/>
        <color theme="1"/>
        <rFont val="Calibri"/>
        <family val="2"/>
        <scheme val="minor"/>
      </rPr>
      <t>Rodaje:</t>
    </r>
    <r>
      <rPr>
        <sz val="10"/>
        <color theme="1"/>
        <rFont val="Calibri"/>
        <family val="2"/>
        <scheme val="minor"/>
      </rPr>
      <t xml:space="preserve"> 11 de agosto al 11 de octubre 2025                             </t>
    </r>
    <r>
      <rPr>
        <b/>
        <sz val="10"/>
        <color theme="1"/>
        <rFont val="Calibri"/>
        <family val="2"/>
        <scheme val="minor"/>
      </rPr>
      <t xml:space="preserve">Poste: </t>
    </r>
    <r>
      <rPr>
        <sz val="10"/>
        <color theme="1"/>
        <rFont val="Calibri"/>
        <family val="2"/>
        <scheme val="minor"/>
      </rPr>
      <t xml:space="preserve"> 01 de sep 2025 al 30 enero 2026.                                   </t>
    </r>
  </si>
  <si>
    <r>
      <rPr>
        <b/>
        <sz val="10"/>
        <color theme="1"/>
        <rFont val="Calibri"/>
        <family val="2"/>
        <scheme val="minor"/>
      </rPr>
      <t>•Preproducción</t>
    </r>
    <r>
      <rPr>
        <sz val="10"/>
        <color theme="1"/>
        <rFont val="Calibri"/>
        <family val="2"/>
        <scheme val="minor"/>
      </rPr>
      <t xml:space="preserve"> Julio 14 2015
</t>
    </r>
    <r>
      <rPr>
        <b/>
        <sz val="10"/>
        <color theme="1"/>
        <rFont val="Calibri"/>
        <family val="2"/>
        <scheme val="minor"/>
      </rPr>
      <t xml:space="preserve">•Rodaje </t>
    </r>
    <r>
      <rPr>
        <sz val="10"/>
        <color theme="1"/>
        <rFont val="Calibri"/>
        <family val="2"/>
        <scheme val="minor"/>
      </rPr>
      <t xml:space="preserve">Agosto 11 a Octubre 11 2025
</t>
    </r>
    <r>
      <rPr>
        <b/>
        <sz val="10"/>
        <color theme="1"/>
        <rFont val="Calibri"/>
        <family val="2"/>
        <scheme val="minor"/>
      </rPr>
      <t>•Cierre</t>
    </r>
    <r>
      <rPr>
        <sz val="10"/>
        <color theme="1"/>
        <rFont val="Calibri"/>
        <family val="2"/>
        <scheme val="minor"/>
      </rPr>
      <t xml:space="preserve"> Agosto 13 a Agosto 25 2025</t>
    </r>
  </si>
  <si>
    <r>
      <t xml:space="preserve">Enviar créditos el </t>
    </r>
    <r>
      <rPr>
        <sz val="10"/>
        <color rgb="FFFF0000"/>
        <rFont val="Calibri"/>
        <family val="2"/>
        <scheme val="minor"/>
      </rPr>
      <t>08 de noviembre 2025.</t>
    </r>
  </si>
  <si>
    <r>
      <rPr>
        <b/>
        <sz val="10"/>
        <color theme="1"/>
        <rFont val="Calibri"/>
        <family val="2"/>
        <scheme val="minor"/>
      </rPr>
      <t xml:space="preserve">Preproducción: </t>
    </r>
    <r>
      <rPr>
        <sz val="10"/>
        <color theme="1"/>
        <rFont val="Calibri"/>
        <family val="2"/>
        <scheme val="minor"/>
      </rPr>
      <t xml:space="preserve">21 de julio de 2025 a 31 de agosto 2025
</t>
    </r>
    <r>
      <rPr>
        <b/>
        <sz val="10"/>
        <color theme="1"/>
        <rFont val="Calibri"/>
        <family val="2"/>
        <scheme val="minor"/>
      </rPr>
      <t>Producción:</t>
    </r>
    <r>
      <rPr>
        <sz val="10"/>
        <color theme="1"/>
        <rFont val="Calibri"/>
        <family val="2"/>
        <scheme val="minor"/>
      </rPr>
      <t xml:space="preserve"> 01 de septiembre 2025 a 08 de noviembre 2025</t>
    </r>
  </si>
  <si>
    <r>
      <t xml:space="preserve">Renovar el </t>
    </r>
    <r>
      <rPr>
        <sz val="10"/>
        <color rgb="FFFF0000"/>
        <rFont val="Calibri"/>
        <family val="2"/>
        <scheme val="minor"/>
      </rPr>
      <t>27 de SEPTIEMBRE 2025</t>
    </r>
  </si>
  <si>
    <r>
      <t xml:space="preserve">Enviar recordatorio de renocación el </t>
    </r>
    <r>
      <rPr>
        <sz val="10"/>
        <color rgb="FFFF0000"/>
        <rFont val="Calibri"/>
        <family val="2"/>
        <scheme val="minor"/>
      </rPr>
      <t>28 de noviembre 2025).</t>
    </r>
  </si>
  <si>
    <r>
      <t>Dar seguimiento en si van a tomar la propuesta el</t>
    </r>
    <r>
      <rPr>
        <sz val="10"/>
        <color rgb="FFFF0000"/>
        <rFont val="Calibri"/>
        <family val="2"/>
        <scheme val="minor"/>
      </rPr>
      <t xml:space="preserve"> 22 de agosto 2025</t>
    </r>
  </si>
  <si>
    <r>
      <t xml:space="preserve">adjuntar los cuestionarios </t>
    </r>
    <r>
      <rPr>
        <sz val="10"/>
        <color rgb="FFFF0000"/>
        <rFont val="Calibri"/>
        <family val="2"/>
        <scheme val="minor"/>
      </rPr>
      <t>01 de septiembre 2025.</t>
    </r>
  </si>
  <si>
    <r>
      <t xml:space="preserve">RENOVAR El 01 DE </t>
    </r>
    <r>
      <rPr>
        <i/>
        <sz val="10"/>
        <color theme="4"/>
        <rFont val="Calibri"/>
        <family val="2"/>
        <scheme val="minor"/>
      </rPr>
      <t>MARZO DE 2026 (MISMOS T&amp;C)</t>
    </r>
  </si>
  <si>
    <r>
      <t xml:space="preserve">Vigencia: 01 de abril 2025 al </t>
    </r>
    <r>
      <rPr>
        <sz val="10"/>
        <color theme="9"/>
        <rFont val="Calibri"/>
        <family val="2"/>
        <scheme val="minor"/>
      </rPr>
      <t>01 de abril 2026</t>
    </r>
  </si>
  <si>
    <r>
      <t>Vigencia: 13 de mayo 2025 al 13 de mayo</t>
    </r>
    <r>
      <rPr>
        <sz val="10"/>
        <color theme="9"/>
        <rFont val="Calibri"/>
        <family val="2"/>
        <scheme val="minor"/>
      </rPr>
      <t xml:space="preserve"> 2026</t>
    </r>
  </si>
  <si>
    <r>
      <t>Están haciendo una serie para Disney y acaban en otoño recordar, regresando del puente.</t>
    </r>
    <r>
      <rPr>
        <sz val="10"/>
        <color rgb="FFFF0000"/>
        <rFont val="Calibri"/>
        <family val="2"/>
        <scheme val="minor"/>
      </rPr>
      <t xml:space="preserve"> 15 de septiembre</t>
    </r>
  </si>
  <si>
    <r>
      <t>Quedamos en espera que nos apoyen llenado las preguntas que hizo Diani, recordar el</t>
    </r>
    <r>
      <rPr>
        <sz val="10"/>
        <color rgb="FFFF0000"/>
        <rFont val="Calibri"/>
        <family val="2"/>
        <scheme val="minor"/>
      </rPr>
      <t xml:space="preserve"> 04 de septiembre 2025 a TUTI</t>
    </r>
  </si>
  <si>
    <r>
      <t>El LUNES</t>
    </r>
    <r>
      <rPr>
        <sz val="10"/>
        <color rgb="FFFF0000"/>
        <rFont val="Calibri"/>
        <family val="2"/>
        <scheme val="minor"/>
      </rPr>
      <t xml:space="preserve"> 15 DE SEPTIEMBRE DAR SEGUIRMIENTO</t>
    </r>
  </si>
  <si>
    <t>PENDIENTE O CERRADO</t>
  </si>
  <si>
    <t>Sinapsis Contenido SA de CV</t>
  </si>
  <si>
    <t>COMERCIAL CREST WHITENING</t>
  </si>
  <si>
    <t>Reshoot Ocote</t>
  </si>
  <si>
    <t>GRUPO POSADAS</t>
  </si>
  <si>
    <t>PRODUZIONE PLETORIANA</t>
  </si>
  <si>
    <t>PAGADA 05/08/2025</t>
  </si>
  <si>
    <t>PAGADA 31/07/2025</t>
  </si>
  <si>
    <t>PAGADA 25/08/2025</t>
  </si>
  <si>
    <t>01-11-011806-001-03 endoso: 001</t>
  </si>
  <si>
    <t>vigencia: 01 de septiembre 2025 al 30 de junio 2026</t>
  </si>
  <si>
    <t>PAGADA 26/02/2025</t>
  </si>
  <si>
    <t>PAGADA 21/08/2025</t>
  </si>
  <si>
    <t>PAGADA 28/07/2025</t>
  </si>
  <si>
    <t>PAGADA 14/08/2025</t>
  </si>
  <si>
    <t>PAGADA 06/08/2025</t>
  </si>
  <si>
    <t>PAGADA 07/07/2025</t>
  </si>
  <si>
    <t>PAGADA 04/08/2025</t>
  </si>
  <si>
    <t>PAGADA 25/07/2025</t>
  </si>
  <si>
    <t>PAGADA 9/07/2025</t>
  </si>
  <si>
    <t>PAGADA 14/07/2025</t>
  </si>
  <si>
    <t>PAGADA 10/07/2025</t>
  </si>
  <si>
    <t>PAGADA 12/08/2025</t>
  </si>
  <si>
    <t>PAGADA 15/07/2025</t>
  </si>
  <si>
    <t>PAGADA 25/06/2025</t>
  </si>
  <si>
    <t>PAGADA 17/07/2025</t>
  </si>
  <si>
    <t>PAGADA 18/06/2025</t>
  </si>
  <si>
    <t>PAGADA 11/07/2025</t>
  </si>
  <si>
    <t>PAGADA 04/07/2025</t>
  </si>
  <si>
    <t>PAGADA 30/05/2025</t>
  </si>
  <si>
    <t>PAGADA 31/03/2025</t>
  </si>
  <si>
    <t>PAGADA 03/07/2025</t>
  </si>
  <si>
    <t>PAGADA 04/06/2025</t>
  </si>
  <si>
    <t>PAGADA 03/03/2025</t>
  </si>
  <si>
    <t>PAGADA 08/05/2025</t>
  </si>
  <si>
    <t>PAGADA21/05/2025</t>
  </si>
  <si>
    <t>PAGADA 21/02/2025</t>
  </si>
  <si>
    <t>PAGADA 22/01/2025</t>
  </si>
  <si>
    <t>PAGADA 24/12/2024</t>
  </si>
  <si>
    <t>PAGADA 05/09/2025</t>
  </si>
  <si>
    <t>DVEP/16048 endoso: 002</t>
  </si>
  <si>
    <t>Vigencia: 17 de agosto 2025 al 01 de octubre 2025</t>
  </si>
  <si>
    <t>PAGADA 30/09/2025</t>
  </si>
  <si>
    <t>PAGADA 12/03/2025</t>
  </si>
  <si>
    <t>PAGADA 20/03/2025</t>
  </si>
  <si>
    <t>COMERCIAL STRANGER THINGS T5</t>
  </si>
  <si>
    <t>01-11-018265-005-01 endoso: 05</t>
  </si>
  <si>
    <t>01-11-018265-010-01 endoso: 10</t>
  </si>
  <si>
    <t>01-11-018265-011-01 endoso: 11</t>
  </si>
  <si>
    <t>01-11-018265-007-01 endoso: 07</t>
  </si>
  <si>
    <t>01-11-018265-001-01 endoso: 01</t>
  </si>
  <si>
    <t>01-11-018265-009-01 endoso: 09</t>
  </si>
  <si>
    <t>01-11-018265-008-01 endoso: 08</t>
  </si>
  <si>
    <t>01-11-018265-003-01 endoso: 03</t>
  </si>
  <si>
    <t>01-11-018265-004-01 endoso: 04</t>
  </si>
  <si>
    <t>01-11-018265-012-01 endoso: 12</t>
  </si>
  <si>
    <t>01-11-018265-013-01 endoso: 13</t>
  </si>
  <si>
    <t>01-11-018265-000-01 endoso: 00</t>
  </si>
  <si>
    <t>PAM BOX PRODUCCIONES</t>
  </si>
  <si>
    <t>PROMOCION TURISTICA</t>
  </si>
  <si>
    <t>Extensión de Vigencia Un Día de Rodaje Toco Madera</t>
  </si>
  <si>
    <t xml:space="preserve">Comercial Chevrolet </t>
  </si>
  <si>
    <t>MIRREYES CONTRA GODINEZ</t>
  </si>
  <si>
    <t>inbursa</t>
  </si>
  <si>
    <t>COMISION PARTNERS</t>
  </si>
  <si>
    <t>COMISION RISKMEDIA</t>
  </si>
  <si>
    <t>COMISION</t>
  </si>
  <si>
    <t>FACTURACION</t>
  </si>
  <si>
    <t xml:space="preserve">The Happy Place </t>
  </si>
  <si>
    <t>COMISION NETA</t>
  </si>
  <si>
    <t>01-11-021821-0000-01</t>
  </si>
  <si>
    <t>Vigencia: 12 de agosto 2025 al 05 de diciembre 2025</t>
  </si>
  <si>
    <t>0181-0530299409</t>
  </si>
  <si>
    <t>01-11-016734-005-01 endoso: 5</t>
  </si>
  <si>
    <t>Vigencia: 31 de JULIO 2025 al 31 de OCTUBRE 2025</t>
  </si>
  <si>
    <t>18105 93193672</t>
  </si>
  <si>
    <t>Vigencia: 21 de julio 2025 al 21 de julio 2059</t>
  </si>
  <si>
    <t>Vigencia: 31 de marzo 2025 al 01 de mayo 2025</t>
  </si>
  <si>
    <t>Vigencia: 18 de junio 2025 al  30 de julio 2025</t>
  </si>
  <si>
    <t>Vigencia: 13 de enero 2025 al 13 de enero 2026</t>
  </si>
  <si>
    <t xml:space="preserve">PIC HACIENDO HISTORIAS SA DE CV </t>
  </si>
  <si>
    <t>LA CAZA</t>
  </si>
  <si>
    <t>Magnificos Producciones SA de CV</t>
  </si>
  <si>
    <t>Amazon Work and Shop</t>
  </si>
  <si>
    <t>Taller</t>
  </si>
  <si>
    <t>PAGADA 14/10/2025</t>
  </si>
  <si>
    <t>Vigencia: 27 de agosto 2025 al 27 de agosto 2028</t>
  </si>
  <si>
    <t>18105 30302734</t>
  </si>
  <si>
    <t>Vigencia: 17 de agosto 2025 al 01 de octubtre 2025</t>
  </si>
  <si>
    <t>DESP/00000019</t>
  </si>
  <si>
    <t>Vigencia: 23 de septiembre 2025 al 23 de septiembre 2026</t>
  </si>
  <si>
    <t>DESP/00000018</t>
  </si>
  <si>
    <t>Vigencia: 23 de septiembre 2025 al 10 de febrero 2026</t>
  </si>
  <si>
    <t>01-11-022632-0000-01</t>
  </si>
  <si>
    <t>Vigencia: 06 de octubre 2025 al 16 de octubre 2025</t>
  </si>
  <si>
    <t>18105 30302609</t>
  </si>
  <si>
    <t>Vigencia: 06 de octubre 2025 al 30 de octubre 2025</t>
  </si>
  <si>
    <t>Vigencia: 20 de octubre 2025 al 27 de octubre 2025</t>
  </si>
  <si>
    <t>18105 30302486</t>
  </si>
  <si>
    <t>Vigencia: 09 de octubre 2025 al 13 de octubre 2025</t>
  </si>
  <si>
    <t>18105 30302155</t>
  </si>
  <si>
    <t>Vigencia: 24 de septiembre 2025 al 26 de septiembre 2026</t>
  </si>
  <si>
    <t>PAGADA 01/10/2025</t>
  </si>
  <si>
    <t>01-11-011728-002-02</t>
  </si>
  <si>
    <t>Vigencia: 13 de octubre 2025 al 13 de noviembre 2025</t>
  </si>
  <si>
    <t>01-11-022775-000-01</t>
  </si>
  <si>
    <t>Vigencia: 06 de octubre 2025 al 06 de octubre 2026</t>
  </si>
  <si>
    <t>PAGADO</t>
  </si>
  <si>
    <t>PREVISTO 22 DE OCTUBRE DE 2025</t>
  </si>
  <si>
    <t>PAGADA 22/08/2025</t>
  </si>
  <si>
    <t>Padre Roman</t>
  </si>
  <si>
    <t>ESPN Originals Production</t>
  </si>
  <si>
    <t>Last Train to North America</t>
  </si>
  <si>
    <t xml:space="preserve">Esperanto Kino </t>
  </si>
  <si>
    <t>2da Extensiòn de Vgencia Campeon Gabacho</t>
  </si>
  <si>
    <t>SI  (SERGIO)</t>
  </si>
  <si>
    <t xml:space="preserve">Gastos Médicos Personal </t>
  </si>
  <si>
    <t>Gastos Mèdicos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</si>
</sst>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* #,##0.00_-;\-&quot;$&quot;* #,##0.00_-;_-&quot;$&quot;* &quot;-&quot;??_-;_-@_-"/>
    <numFmt numFmtId="164" formatCode="_-[$MXN]\ * #,##0.00_-;\-[$MXN]\ * #,##0.00_-;_-[$MXN]\ * &quot;-&quot;??_-;_-@_-"/>
    <numFmt numFmtId="165" formatCode="dd/mm/yy;@"/>
    <numFmt numFmtId="166" formatCode="d/mm/yy;@"/>
    <numFmt numFmtId="167" formatCode="_-[$USD]\ * #,##0.00_-;\-[$USD]\ * #,##0.00_-;_-[$USD]\ * &quot;-&quot;??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b/>
      <sz val="8"/>
      <color theme="0"/>
      <name val="Calibri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sz val="10"/>
      <color rgb="FFFF0000"/>
      <name val="Calibri"/>
      <family val="2"/>
      <scheme val="minor"/>
    </font>
    <font>
      <sz val="10"/>
      <color theme="9"/>
      <name val="Calibri"/>
      <family val="2"/>
      <scheme val="minor"/>
    </font>
    <font>
      <sz val="10"/>
      <color theme="4"/>
      <name val="Calibri"/>
      <family val="2"/>
      <scheme val="minor"/>
    </font>
    <font>
      <sz val="10"/>
      <color rgb="FF92D050"/>
      <name val="Calibri"/>
      <family val="2"/>
      <scheme val="minor"/>
    </font>
    <font>
      <i/>
      <sz val="10"/>
      <color theme="4"/>
      <name val="Calibri"/>
      <family val="2"/>
      <scheme val="minor"/>
    </font>
    <font>
      <sz val="1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0">
    <xf numFmtId="0" fontId="0" fillId="0" borderId="0" xfId="0"/>
    <xf numFmtId="164" fontId="0" fillId="0" borderId="0" xfId="0" applyNumberFormat="1"/>
    <xf numFmtId="164" fontId="0" fillId="7" borderId="1" xfId="0" applyNumberFormat="1" applyFill="1" applyBorder="1"/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0" fillId="0" borderId="1" xfId="0" applyBorder="1"/>
    <xf numFmtId="0" fontId="7" fillId="2" borderId="1" xfId="0" applyFont="1" applyFill="1" applyBorder="1" applyAlignment="1">
      <alignment horizontal="left" vertical="center"/>
    </xf>
    <xf numFmtId="164" fontId="8" fillId="2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/>
    <xf numFmtId="164" fontId="0" fillId="0" borderId="1" xfId="1" applyNumberFormat="1" applyFont="1" applyBorder="1"/>
    <xf numFmtId="0" fontId="3" fillId="0" borderId="0" xfId="0" applyFont="1"/>
    <xf numFmtId="4" fontId="0" fillId="0" borderId="0" xfId="0" applyNumberFormat="1"/>
    <xf numFmtId="44" fontId="0" fillId="0" borderId="0" xfId="1" applyFont="1"/>
    <xf numFmtId="0" fontId="0" fillId="0" borderId="0" xfId="0" applyAlignment="1">
      <alignment horizontal="center" wrapText="1"/>
    </xf>
    <xf numFmtId="0" fontId="0" fillId="0" borderId="10" xfId="0" applyBorder="1"/>
    <xf numFmtId="0" fontId="5" fillId="0" borderId="0" xfId="0" applyFont="1"/>
    <xf numFmtId="164" fontId="4" fillId="2" borderId="0" xfId="0" applyNumberFormat="1" applyFont="1" applyFill="1"/>
    <xf numFmtId="167" fontId="3" fillId="2" borderId="1" xfId="0" applyNumberFormat="1" applyFont="1" applyFill="1" applyBorder="1"/>
    <xf numFmtId="167" fontId="3" fillId="2" borderId="10" xfId="0" applyNumberFormat="1" applyFont="1" applyFill="1" applyBorder="1"/>
    <xf numFmtId="14" fontId="0" fillId="0" borderId="1" xfId="0" applyNumberFormat="1" applyBorder="1" applyAlignment="1">
      <alignment horizontal="left"/>
    </xf>
    <xf numFmtId="0" fontId="0" fillId="0" borderId="3" xfId="0" applyBorder="1"/>
    <xf numFmtId="164" fontId="0" fillId="0" borderId="3" xfId="0" applyNumberFormat="1" applyBorder="1"/>
    <xf numFmtId="0" fontId="4" fillId="2" borderId="11" xfId="0" applyFont="1" applyFill="1" applyBorder="1"/>
    <xf numFmtId="0" fontId="2" fillId="6" borderId="8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167" fontId="3" fillId="2" borderId="1" xfId="0" applyNumberFormat="1" applyFont="1" applyFill="1" applyBorder="1" applyAlignment="1">
      <alignment horizontal="left"/>
    </xf>
    <xf numFmtId="49" fontId="0" fillId="0" borderId="1" xfId="0" applyNumberFormat="1" applyBorder="1"/>
    <xf numFmtId="0" fontId="0" fillId="9" borderId="1" xfId="0" applyFill="1" applyBorder="1"/>
    <xf numFmtId="0" fontId="0" fillId="5" borderId="1" xfId="0" applyFill="1" applyBorder="1"/>
    <xf numFmtId="0" fontId="0" fillId="0" borderId="2" xfId="0" applyBorder="1"/>
    <xf numFmtId="0" fontId="0" fillId="0" borderId="5" xfId="0" applyBorder="1"/>
    <xf numFmtId="164" fontId="0" fillId="2" borderId="1" xfId="0" applyNumberFormat="1" applyFill="1" applyBorder="1"/>
    <xf numFmtId="0" fontId="0" fillId="2" borderId="1" xfId="0" applyFill="1" applyBorder="1" applyAlignment="1">
      <alignment horizontal="left"/>
    </xf>
    <xf numFmtId="44" fontId="0" fillId="2" borderId="1" xfId="1" applyFont="1" applyFill="1" applyBorder="1" applyAlignment="1">
      <alignment horizontal="left" vertical="center"/>
    </xf>
    <xf numFmtId="167" fontId="0" fillId="3" borderId="1" xfId="0" applyNumberFormat="1" applyFill="1" applyBorder="1"/>
    <xf numFmtId="44" fontId="0" fillId="0" borderId="1" xfId="0" applyNumberFormat="1" applyBorder="1"/>
    <xf numFmtId="0" fontId="0" fillId="7" borderId="1" xfId="0" applyFill="1" applyBorder="1" applyAlignment="1">
      <alignment horizontal="center"/>
    </xf>
    <xf numFmtId="167" fontId="0" fillId="0" borderId="1" xfId="0" applyNumberFormat="1" applyBorder="1"/>
    <xf numFmtId="0" fontId="0" fillId="0" borderId="1" xfId="0" applyBorder="1" applyAlignment="1">
      <alignment horizontal="left"/>
    </xf>
    <xf numFmtId="0" fontId="0" fillId="10" borderId="1" xfId="0" applyFill="1" applyBorder="1"/>
    <xf numFmtId="14" fontId="0" fillId="0" borderId="0" xfId="0" applyNumberFormat="1" applyAlignment="1">
      <alignment horizontal="left"/>
    </xf>
    <xf numFmtId="14" fontId="0" fillId="0" borderId="5" xfId="0" applyNumberFormat="1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0" fillId="2" borderId="1" xfId="0" applyFill="1" applyBorder="1"/>
    <xf numFmtId="164" fontId="0" fillId="10" borderId="1" xfId="0" applyNumberFormat="1" applyFill="1" applyBorder="1"/>
    <xf numFmtId="165" fontId="0" fillId="0" borderId="1" xfId="0" applyNumberFormat="1" applyBorder="1" applyAlignment="1">
      <alignment horizontal="left"/>
    </xf>
    <xf numFmtId="164" fontId="0" fillId="3" borderId="1" xfId="0" applyNumberFormat="1" applyFill="1" applyBorder="1"/>
    <xf numFmtId="0" fontId="0" fillId="3" borderId="1" xfId="0" applyFill="1" applyBorder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horizontal="left"/>
    </xf>
    <xf numFmtId="165" fontId="8" fillId="2" borderId="1" xfId="0" applyNumberFormat="1" applyFont="1" applyFill="1" applyBorder="1" applyAlignment="1">
      <alignment horizontal="left" vertical="center"/>
    </xf>
    <xf numFmtId="49" fontId="8" fillId="2" borderId="1" xfId="0" applyNumberFormat="1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0" fillId="2" borderId="1" xfId="2" applyNumberFormat="1" applyFont="1" applyFill="1" applyBorder="1"/>
    <xf numFmtId="0" fontId="3" fillId="2" borderId="1" xfId="2" applyNumberFormat="1" applyFont="1" applyFill="1" applyBorder="1"/>
    <xf numFmtId="164" fontId="0" fillId="2" borderId="1" xfId="1" applyNumberFormat="1" applyFont="1" applyFill="1" applyBorder="1"/>
    <xf numFmtId="0" fontId="3" fillId="2" borderId="1" xfId="0" applyFont="1" applyFill="1" applyBorder="1"/>
    <xf numFmtId="0" fontId="0" fillId="2" borderId="4" xfId="0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0" fillId="0" borderId="3" xfId="0" applyBorder="1" applyAlignment="1">
      <alignment horizontal="left"/>
    </xf>
    <xf numFmtId="165" fontId="0" fillId="0" borderId="3" xfId="0" applyNumberFormat="1" applyBorder="1" applyAlignment="1">
      <alignment horizontal="left"/>
    </xf>
    <xf numFmtId="0" fontId="0" fillId="0" borderId="3" xfId="0" applyBorder="1" applyAlignment="1">
      <alignment vertical="center"/>
    </xf>
    <xf numFmtId="0" fontId="0" fillId="2" borderId="3" xfId="0" applyFill="1" applyBorder="1" applyAlignment="1">
      <alignment horizontal="left" vertical="center"/>
    </xf>
    <xf numFmtId="164" fontId="0" fillId="2" borderId="3" xfId="1" applyNumberFormat="1" applyFont="1" applyFill="1" applyBorder="1"/>
    <xf numFmtId="0" fontId="3" fillId="2" borderId="3" xfId="0" applyFont="1" applyFill="1" applyBorder="1"/>
    <xf numFmtId="164" fontId="0" fillId="2" borderId="3" xfId="0" applyNumberFormat="1" applyFill="1" applyBorder="1"/>
    <xf numFmtId="164" fontId="0" fillId="3" borderId="3" xfId="0" applyNumberFormat="1" applyFill="1" applyBorder="1"/>
    <xf numFmtId="0" fontId="0" fillId="3" borderId="3" xfId="0" applyFill="1" applyBorder="1"/>
    <xf numFmtId="0" fontId="0" fillId="2" borderId="4" xfId="0" applyFill="1" applyBorder="1"/>
    <xf numFmtId="0" fontId="3" fillId="2" borderId="6" xfId="0" applyFont="1" applyFill="1" applyBorder="1"/>
    <xf numFmtId="164" fontId="0" fillId="2" borderId="6" xfId="0" applyNumberFormat="1" applyFill="1" applyBorder="1"/>
    <xf numFmtId="164" fontId="0" fillId="3" borderId="6" xfId="0" applyNumberFormat="1" applyFill="1" applyBorder="1"/>
    <xf numFmtId="0" fontId="0" fillId="3" borderId="6" xfId="0" applyFill="1" applyBorder="1"/>
    <xf numFmtId="0" fontId="0" fillId="8" borderId="1" xfId="0" applyFill="1" applyBorder="1"/>
    <xf numFmtId="0" fontId="0" fillId="3" borderId="1" xfId="0" applyFill="1" applyBorder="1" applyAlignment="1">
      <alignment horizontal="left" vertical="center"/>
    </xf>
    <xf numFmtId="0" fontId="0" fillId="2" borderId="1" xfId="0" applyFill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164" fontId="8" fillId="2" borderId="1" xfId="0" applyNumberFormat="1" applyFont="1" applyFill="1" applyBorder="1"/>
    <xf numFmtId="0" fontId="7" fillId="2" borderId="1" xfId="0" applyFont="1" applyFill="1" applyBorder="1"/>
    <xf numFmtId="165" fontId="0" fillId="0" borderId="1" xfId="0" applyNumberForma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right"/>
    </xf>
    <xf numFmtId="0" fontId="0" fillId="2" borderId="3" xfId="0" applyFill="1" applyBorder="1"/>
    <xf numFmtId="49" fontId="0" fillId="0" borderId="3" xfId="0" applyNumberFormat="1" applyBorder="1" applyAlignment="1">
      <alignment horizontal="left"/>
    </xf>
    <xf numFmtId="165" fontId="0" fillId="2" borderId="1" xfId="0" applyNumberFormat="1" applyFill="1" applyBorder="1" applyAlignment="1">
      <alignment horizontal="left"/>
    </xf>
    <xf numFmtId="49" fontId="0" fillId="0" borderId="1" xfId="0" applyNumberFormat="1" applyBorder="1" applyAlignment="1">
      <alignment horizontal="left" vertical="center"/>
    </xf>
    <xf numFmtId="0" fontId="0" fillId="3" borderId="2" xfId="0" applyFill="1" applyBorder="1"/>
    <xf numFmtId="0" fontId="0" fillId="9" borderId="2" xfId="0" applyFill="1" applyBorder="1"/>
    <xf numFmtId="11" fontId="0" fillId="0" borderId="0" xfId="0" applyNumberFormat="1"/>
    <xf numFmtId="167" fontId="0" fillId="2" borderId="10" xfId="0" applyNumberFormat="1" applyFill="1" applyBorder="1"/>
    <xf numFmtId="1" fontId="0" fillId="0" borderId="1" xfId="0" applyNumberFormat="1" applyBorder="1" applyAlignment="1">
      <alignment horizontal="left"/>
    </xf>
    <xf numFmtId="0" fontId="0" fillId="2" borderId="1" xfId="0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49" fontId="0" fillId="0" borderId="1" xfId="0" applyNumberFormat="1" applyBorder="1" applyAlignment="1">
      <alignment horizontal="left" wrapText="1"/>
    </xf>
    <xf numFmtId="166" fontId="0" fillId="0" borderId="1" xfId="0" applyNumberFormat="1" applyBorder="1" applyAlignment="1">
      <alignment horizontal="left" wrapText="1"/>
    </xf>
    <xf numFmtId="165" fontId="0" fillId="0" borderId="1" xfId="0" applyNumberFormat="1" applyBorder="1" applyAlignment="1">
      <alignment horizontal="left" wrapText="1"/>
    </xf>
    <xf numFmtId="0" fontId="0" fillId="0" borderId="1" xfId="0" applyBorder="1" applyAlignment="1">
      <alignment wrapText="1"/>
    </xf>
    <xf numFmtId="164" fontId="0" fillId="2" borderId="1" xfId="0" applyNumberFormat="1" applyFill="1" applyBorder="1" applyAlignment="1">
      <alignment wrapText="1"/>
    </xf>
    <xf numFmtId="164" fontId="0" fillId="3" borderId="1" xfId="0" applyNumberForma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wrapText="1"/>
    </xf>
    <xf numFmtId="164" fontId="0" fillId="0" borderId="1" xfId="0" applyNumberFormat="1" applyBorder="1" applyAlignment="1">
      <alignment wrapText="1"/>
    </xf>
    <xf numFmtId="4" fontId="0" fillId="0" borderId="0" xfId="0" applyNumberFormat="1" applyAlignment="1">
      <alignment wrapText="1"/>
    </xf>
    <xf numFmtId="0" fontId="0" fillId="0" borderId="1" xfId="0" applyBorder="1" applyAlignment="1">
      <alignment vertical="center" wrapText="1"/>
    </xf>
    <xf numFmtId="49" fontId="0" fillId="2" borderId="1" xfId="0" applyNumberFormat="1" applyFill="1" applyBorder="1" applyAlignment="1">
      <alignment horizontal="left" wrapText="1"/>
    </xf>
    <xf numFmtId="165" fontId="0" fillId="2" borderId="1" xfId="0" applyNumberFormat="1" applyFill="1" applyBorder="1" applyAlignment="1">
      <alignment horizontal="left" wrapText="1"/>
    </xf>
    <xf numFmtId="164" fontId="0" fillId="0" borderId="1" xfId="1" applyNumberFormat="1" applyFont="1" applyBorder="1" applyAlignment="1">
      <alignment wrapText="1"/>
    </xf>
    <xf numFmtId="0" fontId="3" fillId="0" borderId="1" xfId="1" applyNumberFormat="1" applyFont="1" applyBorder="1" applyAlignment="1">
      <alignment wrapText="1"/>
    </xf>
    <xf numFmtId="0" fontId="3" fillId="0" borderId="1" xfId="0" applyFont="1" applyBorder="1" applyAlignment="1">
      <alignment wrapText="1"/>
    </xf>
    <xf numFmtId="165" fontId="0" fillId="0" borderId="1" xfId="0" applyNumberFormat="1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right" wrapText="1"/>
    </xf>
    <xf numFmtId="0" fontId="0" fillId="0" borderId="6" xfId="0" applyBorder="1" applyAlignment="1">
      <alignment horizontal="right" wrapText="1"/>
    </xf>
    <xf numFmtId="49" fontId="0" fillId="0" borderId="1" xfId="0" applyNumberFormat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11" fontId="0" fillId="0" borderId="1" xfId="0" applyNumberFormat="1" applyBorder="1" applyAlignment="1">
      <alignment wrapText="1"/>
    </xf>
    <xf numFmtId="49" fontId="0" fillId="0" borderId="1" xfId="0" applyNumberFormat="1" applyBorder="1" applyAlignment="1">
      <alignment vertical="center" wrapText="1"/>
    </xf>
    <xf numFmtId="0" fontId="0" fillId="3" borderId="3" xfId="0" applyFill="1" applyBorder="1" applyAlignment="1">
      <alignment wrapText="1"/>
    </xf>
    <xf numFmtId="14" fontId="0" fillId="0" borderId="1" xfId="0" applyNumberFormat="1" applyBorder="1" applyAlignment="1">
      <alignment horizontal="left" wrapText="1"/>
    </xf>
    <xf numFmtId="0" fontId="0" fillId="2" borderId="7" xfId="0" applyFill="1" applyBorder="1" applyAlignment="1">
      <alignment wrapText="1"/>
    </xf>
    <xf numFmtId="49" fontId="0" fillId="0" borderId="5" xfId="0" applyNumberFormat="1" applyBorder="1" applyAlignment="1">
      <alignment horizontal="left" wrapText="1"/>
    </xf>
    <xf numFmtId="0" fontId="0" fillId="0" borderId="6" xfId="0" applyBorder="1" applyAlignment="1">
      <alignment wrapText="1"/>
    </xf>
    <xf numFmtId="0" fontId="0" fillId="2" borderId="6" xfId="0" applyFill="1" applyBorder="1" applyAlignment="1">
      <alignment wrapText="1"/>
    </xf>
    <xf numFmtId="164" fontId="0" fillId="2" borderId="6" xfId="0" applyNumberFormat="1" applyFill="1" applyBorder="1" applyAlignment="1">
      <alignment wrapText="1"/>
    </xf>
    <xf numFmtId="0" fontId="3" fillId="2" borderId="6" xfId="0" applyFont="1" applyFill="1" applyBorder="1" applyAlignment="1">
      <alignment wrapText="1"/>
    </xf>
    <xf numFmtId="0" fontId="0" fillId="3" borderId="6" xfId="0" applyFill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0" fillId="2" borderId="3" xfId="0" applyFill="1" applyBorder="1" applyAlignment="1">
      <alignment wrapText="1"/>
    </xf>
    <xf numFmtId="49" fontId="0" fillId="0" borderId="3" xfId="0" applyNumberFormat="1" applyBorder="1" applyAlignment="1">
      <alignment horizontal="left" wrapText="1"/>
    </xf>
    <xf numFmtId="0" fontId="0" fillId="0" borderId="3" xfId="0" applyBorder="1" applyAlignment="1">
      <alignment wrapText="1"/>
    </xf>
    <xf numFmtId="164" fontId="0" fillId="2" borderId="3" xfId="0" applyNumberFormat="1" applyFill="1" applyBorder="1" applyAlignment="1">
      <alignment wrapText="1"/>
    </xf>
    <xf numFmtId="164" fontId="0" fillId="3" borderId="10" xfId="0" applyNumberFormat="1" applyFill="1" applyBorder="1" applyAlignment="1">
      <alignment wrapText="1"/>
    </xf>
    <xf numFmtId="0" fontId="0" fillId="2" borderId="5" xfId="0" applyFill="1" applyBorder="1" applyAlignment="1">
      <alignment wrapText="1"/>
    </xf>
    <xf numFmtId="0" fontId="0" fillId="3" borderId="2" xfId="0" applyFill="1" applyBorder="1" applyAlignment="1">
      <alignment wrapText="1"/>
    </xf>
    <xf numFmtId="164" fontId="9" fillId="2" borderId="1" xfId="0" applyNumberFormat="1" applyFont="1" applyFill="1" applyBorder="1" applyAlignment="1">
      <alignment wrapText="1"/>
    </xf>
    <xf numFmtId="164" fontId="0" fillId="4" borderId="1" xfId="0" applyNumberFormat="1" applyFill="1" applyBorder="1" applyAlignment="1">
      <alignment wrapText="1"/>
    </xf>
    <xf numFmtId="164" fontId="0" fillId="3" borderId="6" xfId="0" applyNumberFormat="1" applyFill="1" applyBorder="1" applyAlignment="1">
      <alignment wrapText="1"/>
    </xf>
    <xf numFmtId="0" fontId="0" fillId="9" borderId="2" xfId="0" applyFill="1" applyBorder="1" applyAlignment="1">
      <alignment wrapText="1"/>
    </xf>
    <xf numFmtId="0" fontId="0" fillId="2" borderId="1" xfId="0" applyFill="1" applyBorder="1" applyAlignment="1">
      <alignment vertical="distributed" wrapText="1"/>
    </xf>
    <xf numFmtId="0" fontId="3" fillId="2" borderId="3" xfId="0" applyFont="1" applyFill="1" applyBorder="1" applyAlignment="1">
      <alignment vertical="distributed" wrapText="1"/>
    </xf>
    <xf numFmtId="49" fontId="0" fillId="0" borderId="1" xfId="0" applyNumberFormat="1" applyBorder="1" applyAlignment="1">
      <alignment horizontal="left" vertical="distributed" wrapText="1"/>
    </xf>
    <xf numFmtId="165" fontId="0" fillId="0" borderId="1" xfId="0" applyNumberFormat="1" applyBorder="1" applyAlignment="1">
      <alignment horizontal="left" vertical="distributed" wrapText="1"/>
    </xf>
    <xf numFmtId="0" fontId="0" fillId="0" borderId="1" xfId="0" applyBorder="1" applyAlignment="1">
      <alignment vertical="distributed" wrapText="1"/>
    </xf>
    <xf numFmtId="164" fontId="0" fillId="2" borderId="1" xfId="0" applyNumberFormat="1" applyFill="1" applyBorder="1" applyAlignment="1">
      <alignment vertical="distributed" wrapText="1"/>
    </xf>
    <xf numFmtId="0" fontId="3" fillId="2" borderId="1" xfId="0" applyFont="1" applyFill="1" applyBorder="1" applyAlignment="1">
      <alignment vertical="distributed" wrapText="1"/>
    </xf>
    <xf numFmtId="0" fontId="0" fillId="3" borderId="1" xfId="0" applyFill="1" applyBorder="1" applyAlignment="1">
      <alignment vertical="distributed" wrapText="1"/>
    </xf>
    <xf numFmtId="0" fontId="0" fillId="0" borderId="1" xfId="0" applyBorder="1" applyAlignment="1">
      <alignment horizontal="left" vertical="distributed" wrapText="1"/>
    </xf>
    <xf numFmtId="0" fontId="0" fillId="0" borderId="0" xfId="0" applyAlignment="1">
      <alignment vertical="distributed" wrapText="1"/>
    </xf>
    <xf numFmtId="0" fontId="0" fillId="2" borderId="3" xfId="0" applyFill="1" applyBorder="1" applyAlignment="1">
      <alignment vertical="distributed" wrapText="1"/>
    </xf>
    <xf numFmtId="49" fontId="0" fillId="0" borderId="3" xfId="0" applyNumberFormat="1" applyBorder="1" applyAlignment="1">
      <alignment horizontal="left" vertical="distributed" wrapText="1"/>
    </xf>
    <xf numFmtId="0" fontId="0" fillId="0" borderId="3" xfId="0" applyBorder="1" applyAlignment="1">
      <alignment vertical="distributed" wrapText="1"/>
    </xf>
    <xf numFmtId="164" fontId="0" fillId="2" borderId="3" xfId="0" applyNumberFormat="1" applyFill="1" applyBorder="1" applyAlignment="1">
      <alignment vertical="distributed" wrapText="1"/>
    </xf>
    <xf numFmtId="164" fontId="0" fillId="3" borderId="10" xfId="0" applyNumberFormat="1" applyFill="1" applyBorder="1" applyAlignment="1">
      <alignment vertical="distributed" wrapText="1"/>
    </xf>
    <xf numFmtId="0" fontId="0" fillId="3" borderId="3" xfId="0" applyFill="1" applyBorder="1" applyAlignment="1">
      <alignment vertical="distributed" wrapText="1"/>
    </xf>
    <xf numFmtId="0" fontId="0" fillId="2" borderId="5" xfId="0" applyFill="1" applyBorder="1" applyAlignment="1">
      <alignment vertical="distributed" wrapText="1"/>
    </xf>
    <xf numFmtId="164" fontId="0" fillId="2" borderId="6" xfId="0" applyNumberFormat="1" applyFill="1" applyBorder="1" applyAlignment="1">
      <alignment vertical="distributed" wrapText="1"/>
    </xf>
    <xf numFmtId="0" fontId="3" fillId="2" borderId="6" xfId="0" applyFont="1" applyFill="1" applyBorder="1" applyAlignment="1">
      <alignment vertical="distributed" wrapText="1"/>
    </xf>
    <xf numFmtId="0" fontId="0" fillId="3" borderId="6" xfId="0" applyFill="1" applyBorder="1" applyAlignment="1">
      <alignment vertical="distributed" wrapText="1"/>
    </xf>
    <xf numFmtId="0" fontId="0" fillId="0" borderId="6" xfId="0" applyBorder="1" applyAlignment="1">
      <alignment horizontal="left" vertical="distributed" wrapText="1"/>
    </xf>
    <xf numFmtId="0" fontId="0" fillId="3" borderId="2" xfId="0" applyFill="1" applyBorder="1" applyAlignment="1">
      <alignment vertical="distributed" wrapText="1"/>
    </xf>
    <xf numFmtId="0" fontId="3" fillId="0" borderId="1" xfId="0" applyFont="1" applyBorder="1" applyAlignment="1">
      <alignment vertical="distributed" wrapText="1"/>
    </xf>
    <xf numFmtId="164" fontId="0" fillId="3" borderId="1" xfId="0" applyNumberFormat="1" applyFill="1" applyBorder="1" applyAlignment="1">
      <alignment vertical="distributed" wrapText="1"/>
    </xf>
    <xf numFmtId="0" fontId="0" fillId="2" borderId="4" xfId="0" applyFill="1" applyBorder="1" applyAlignment="1">
      <alignment vertical="distributed" wrapText="1"/>
    </xf>
    <xf numFmtId="49" fontId="0" fillId="2" borderId="3" xfId="0" applyNumberFormat="1" applyFill="1" applyBorder="1" applyAlignment="1">
      <alignment horizontal="left" vertical="distributed" wrapText="1"/>
    </xf>
    <xf numFmtId="0" fontId="0" fillId="2" borderId="10" xfId="0" applyFill="1" applyBorder="1" applyAlignment="1">
      <alignment vertical="distributed" wrapText="1"/>
    </xf>
    <xf numFmtId="164" fontId="0" fillId="3" borderId="3" xfId="0" applyNumberFormat="1" applyFill="1" applyBorder="1" applyAlignment="1">
      <alignment vertical="distributed" wrapText="1"/>
    </xf>
    <xf numFmtId="164" fontId="0" fillId="9" borderId="1" xfId="0" applyNumberFormat="1" applyFill="1" applyBorder="1"/>
    <xf numFmtId="3" fontId="0" fillId="0" borderId="0" xfId="0" applyNumberFormat="1"/>
    <xf numFmtId="0" fontId="0" fillId="2" borderId="0" xfId="0" applyFill="1"/>
    <xf numFmtId="0" fontId="0" fillId="0" borderId="0" xfId="0" applyAlignment="1">
      <alignment horizontal="center"/>
    </xf>
    <xf numFmtId="167" fontId="0" fillId="0" borderId="0" xfId="0" applyNumberFormat="1"/>
    <xf numFmtId="0" fontId="0" fillId="0" borderId="12" xfId="0" applyBorder="1"/>
    <xf numFmtId="0" fontId="10" fillId="6" borderId="9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4" fillId="0" borderId="1" xfId="0" applyFont="1" applyBorder="1"/>
    <xf numFmtId="0" fontId="4" fillId="0" borderId="2" xfId="0" applyFont="1" applyBorder="1"/>
    <xf numFmtId="0" fontId="4" fillId="0" borderId="1" xfId="0" applyFont="1" applyBorder="1" applyAlignment="1">
      <alignment horizontal="left"/>
    </xf>
    <xf numFmtId="14" fontId="4" fillId="0" borderId="5" xfId="0" applyNumberFormat="1" applyFont="1" applyBorder="1" applyAlignment="1">
      <alignment horizontal="left"/>
    </xf>
    <xf numFmtId="0" fontId="4" fillId="0" borderId="5" xfId="0" applyFont="1" applyBorder="1"/>
    <xf numFmtId="164" fontId="4" fillId="0" borderId="1" xfId="0" applyNumberFormat="1" applyFont="1" applyBorder="1"/>
    <xf numFmtId="164" fontId="4" fillId="0" borderId="0" xfId="0" applyNumberFormat="1" applyFont="1"/>
    <xf numFmtId="0" fontId="4" fillId="10" borderId="1" xfId="0" applyFont="1" applyFill="1" applyBorder="1"/>
    <xf numFmtId="14" fontId="4" fillId="0" borderId="1" xfId="0" applyNumberFormat="1" applyFont="1" applyBorder="1" applyAlignment="1">
      <alignment horizontal="left"/>
    </xf>
    <xf numFmtId="164" fontId="4" fillId="2" borderId="1" xfId="0" applyNumberFormat="1" applyFont="1" applyFill="1" applyBorder="1"/>
    <xf numFmtId="49" fontId="4" fillId="0" borderId="1" xfId="0" applyNumberFormat="1" applyFont="1" applyBorder="1" applyAlignment="1">
      <alignment horizontal="left"/>
    </xf>
    <xf numFmtId="49" fontId="4" fillId="0" borderId="5" xfId="0" applyNumberFormat="1" applyFont="1" applyBorder="1"/>
    <xf numFmtId="49" fontId="4" fillId="0" borderId="1" xfId="0" applyNumberFormat="1" applyFont="1" applyBorder="1"/>
    <xf numFmtId="0" fontId="4" fillId="2" borderId="1" xfId="0" applyFont="1" applyFill="1" applyBorder="1"/>
    <xf numFmtId="0" fontId="4" fillId="5" borderId="1" xfId="0" applyFont="1" applyFill="1" applyBorder="1"/>
    <xf numFmtId="164" fontId="4" fillId="9" borderId="1" xfId="0" applyNumberFormat="1" applyFont="1" applyFill="1" applyBorder="1"/>
    <xf numFmtId="0" fontId="4" fillId="0" borderId="12" xfId="0" applyFont="1" applyBorder="1"/>
    <xf numFmtId="44" fontId="4" fillId="2" borderId="1" xfId="1" applyFont="1" applyFill="1" applyBorder="1" applyAlignment="1">
      <alignment horizontal="left"/>
    </xf>
    <xf numFmtId="44" fontId="4" fillId="2" borderId="1" xfId="1" applyFont="1" applyFill="1" applyBorder="1" applyAlignment="1">
      <alignment horizontal="left" vertical="center"/>
    </xf>
    <xf numFmtId="0" fontId="4" fillId="7" borderId="1" xfId="0" applyFont="1" applyFill="1" applyBorder="1"/>
    <xf numFmtId="44" fontId="0" fillId="0" borderId="1" xfId="1" applyFont="1" applyBorder="1"/>
    <xf numFmtId="0" fontId="0" fillId="0" borderId="1" xfId="0" applyBorder="1" applyAlignment="1">
      <alignment horizontal="left" vertical="center"/>
    </xf>
    <xf numFmtId="17" fontId="0" fillId="0" borderId="1" xfId="0" applyNumberFormat="1" applyBorder="1"/>
    <xf numFmtId="44" fontId="0" fillId="0" borderId="0" xfId="0" applyNumberFormat="1"/>
    <xf numFmtId="0" fontId="0" fillId="2" borderId="2" xfId="0" applyFill="1" applyBorder="1"/>
    <xf numFmtId="0" fontId="0" fillId="2" borderId="1" xfId="1" applyNumberFormat="1" applyFont="1" applyFill="1" applyBorder="1" applyAlignment="1">
      <alignment horizontal="left"/>
    </xf>
    <xf numFmtId="0" fontId="0" fillId="2" borderId="6" xfId="0" applyFill="1" applyBorder="1"/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/>
    <xf numFmtId="0" fontId="3" fillId="7" borderId="3" xfId="0" applyFont="1" applyFill="1" applyBorder="1"/>
    <xf numFmtId="0" fontId="3" fillId="7" borderId="1" xfId="0" applyFont="1" applyFill="1" applyBorder="1" applyAlignment="1">
      <alignment wrapText="1"/>
    </xf>
    <xf numFmtId="0" fontId="3" fillId="7" borderId="3" xfId="0" applyFont="1" applyFill="1" applyBorder="1" applyAlignment="1">
      <alignment vertical="distributed" wrapText="1"/>
    </xf>
    <xf numFmtId="0" fontId="3" fillId="8" borderId="1" xfId="0" applyFont="1" applyFill="1" applyBorder="1"/>
    <xf numFmtId="0" fontId="0" fillId="0" borderId="14" xfId="0" applyBorder="1"/>
    <xf numFmtId="0" fontId="0" fillId="0" borderId="2" xfId="0" applyBorder="1" applyAlignment="1">
      <alignment horizontal="left"/>
    </xf>
    <xf numFmtId="49" fontId="0" fillId="0" borderId="2" xfId="0" applyNumberFormat="1" applyBorder="1" applyAlignment="1">
      <alignment horizontal="left"/>
    </xf>
    <xf numFmtId="49" fontId="0" fillId="0" borderId="2" xfId="0" applyNumberFormat="1" applyBorder="1"/>
    <xf numFmtId="0" fontId="0" fillId="0" borderId="13" xfId="0" applyBorder="1" applyAlignment="1">
      <alignment horizontal="left"/>
    </xf>
    <xf numFmtId="0" fontId="2" fillId="6" borderId="15" xfId="0" applyFont="1" applyFill="1" applyBorder="1" applyAlignment="1">
      <alignment horizontal="center" vertical="center"/>
    </xf>
    <xf numFmtId="0" fontId="0" fillId="0" borderId="5" xfId="0" applyBorder="1" applyAlignment="1">
      <alignment horizontal="left"/>
    </xf>
    <xf numFmtId="0" fontId="0" fillId="2" borderId="5" xfId="0" applyFill="1" applyBorder="1"/>
    <xf numFmtId="0" fontId="2" fillId="6" borderId="1" xfId="0" applyFont="1" applyFill="1" applyBorder="1" applyAlignment="1">
      <alignment horizontal="center" vertical="center"/>
    </xf>
    <xf numFmtId="0" fontId="0" fillId="2" borderId="11" xfId="0" applyFill="1" applyBorder="1"/>
    <xf numFmtId="0" fontId="0" fillId="0" borderId="0" xfId="0" applyAlignment="1">
      <alignment horizontal="left"/>
    </xf>
    <xf numFmtId="14" fontId="0" fillId="2" borderId="1" xfId="0" applyNumberForma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13" xfId="0" applyFill="1" applyBorder="1"/>
    <xf numFmtId="0" fontId="0" fillId="7" borderId="1" xfId="0" applyFill="1" applyBorder="1"/>
    <xf numFmtId="0" fontId="0" fillId="0" borderId="16" xfId="0" applyBorder="1" applyAlignment="1">
      <alignment vertical="center"/>
    </xf>
    <xf numFmtId="164" fontId="0" fillId="8" borderId="1" xfId="0" applyNumberFormat="1" applyFill="1" applyBorder="1"/>
    <xf numFmtId="0" fontId="0" fillId="11" borderId="2" xfId="0" applyFill="1" applyBorder="1"/>
    <xf numFmtId="0" fontId="0" fillId="11" borderId="1" xfId="0" applyFill="1" applyBorder="1"/>
    <xf numFmtId="0" fontId="0" fillId="12" borderId="1" xfId="0" applyFill="1" applyBorder="1"/>
    <xf numFmtId="0" fontId="2" fillId="6" borderId="9" xfId="0" applyFont="1" applyFill="1" applyBorder="1" applyAlignment="1">
      <alignment horizontal="center" vertical="center" wrapText="1"/>
    </xf>
    <xf numFmtId="0" fontId="0" fillId="11" borderId="10" xfId="0" applyFill="1" applyBorder="1"/>
    <xf numFmtId="0" fontId="0" fillId="2" borderId="10" xfId="0" applyFill="1" applyBorder="1"/>
    <xf numFmtId="0" fontId="0" fillId="13" borderId="1" xfId="0" applyFill="1" applyBorder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7" fontId="0" fillId="0" borderId="1" xfId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2" fillId="6" borderId="1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7" borderId="1" xfId="0" applyFill="1" applyBorder="1" applyAlignment="1">
      <alignment wrapText="1"/>
    </xf>
    <xf numFmtId="0" fontId="0" fillId="14" borderId="1" xfId="0" applyFill="1" applyBorder="1"/>
    <xf numFmtId="14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/>
    <xf numFmtId="164" fontId="0" fillId="2" borderId="1" xfId="0" applyNumberFormat="1" applyFill="1" applyBorder="1" applyAlignment="1">
      <alignment horizontal="left"/>
    </xf>
    <xf numFmtId="0" fontId="0" fillId="15" borderId="1" xfId="0" applyFill="1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49" fontId="0" fillId="3" borderId="1" xfId="0" applyNumberFormat="1" applyFill="1" applyBorder="1"/>
    <xf numFmtId="1" fontId="0" fillId="7" borderId="1" xfId="0" applyNumberFormat="1" applyFill="1" applyBorder="1" applyAlignment="1">
      <alignment horizontal="center"/>
    </xf>
    <xf numFmtId="0" fontId="11" fillId="2" borderId="1" xfId="0" applyFont="1" applyFill="1" applyBorder="1" applyAlignment="1">
      <alignment wrapText="1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7" borderId="0" xfId="0" applyFill="1"/>
    <xf numFmtId="49" fontId="0" fillId="2" borderId="6" xfId="0" applyNumberFormat="1" applyFill="1" applyBorder="1"/>
    <xf numFmtId="49" fontId="0" fillId="5" borderId="1" xfId="0" applyNumberFormat="1" applyFill="1" applyBorder="1"/>
    <xf numFmtId="0" fontId="0" fillId="7" borderId="6" xfId="0" applyFill="1" applyBorder="1" applyAlignment="1">
      <alignment wrapText="1"/>
    </xf>
    <xf numFmtId="0" fontId="9" fillId="7" borderId="6" xfId="0" applyFont="1" applyFill="1" applyBorder="1" applyAlignment="1">
      <alignment wrapText="1"/>
    </xf>
    <xf numFmtId="0" fontId="9" fillId="2" borderId="6" xfId="0" applyFont="1" applyFill="1" applyBorder="1" applyAlignment="1">
      <alignment wrapText="1"/>
    </xf>
    <xf numFmtId="1" fontId="0" fillId="2" borderId="1" xfId="0" applyNumberFormat="1" applyFill="1" applyBorder="1" applyAlignment="1">
      <alignment horizontal="center" vertical="center"/>
    </xf>
    <xf numFmtId="0" fontId="9" fillId="2" borderId="1" xfId="0" applyFont="1" applyFill="1" applyBorder="1" applyAlignment="1">
      <alignment wrapText="1"/>
    </xf>
    <xf numFmtId="0" fontId="0" fillId="16" borderId="1" xfId="0" applyFill="1" applyBorder="1"/>
    <xf numFmtId="0" fontId="0" fillId="2" borderId="6" xfId="0" applyFill="1" applyBorder="1" applyAlignment="1">
      <alignment horizontal="center" vertical="center"/>
    </xf>
    <xf numFmtId="14" fontId="0" fillId="2" borderId="6" xfId="0" applyNumberFormat="1" applyFill="1" applyBorder="1" applyAlignment="1">
      <alignment horizontal="center" vertical="center"/>
    </xf>
    <xf numFmtId="0" fontId="9" fillId="7" borderId="1" xfId="0" applyFont="1" applyFill="1" applyBorder="1" applyAlignment="1">
      <alignment wrapText="1"/>
    </xf>
    <xf numFmtId="0" fontId="11" fillId="2" borderId="1" xfId="0" applyFont="1" applyFill="1" applyBorder="1"/>
    <xf numFmtId="0" fontId="0" fillId="17" borderId="1" xfId="0" applyFill="1" applyBorder="1"/>
    <xf numFmtId="0" fontId="9" fillId="2" borderId="3" xfId="0" applyFont="1" applyFill="1" applyBorder="1" applyAlignment="1">
      <alignment wrapText="1"/>
    </xf>
    <xf numFmtId="0" fontId="0" fillId="2" borderId="1" xfId="0" applyFill="1" applyBorder="1" applyAlignment="1">
      <alignment horizontal="left" indent="1"/>
    </xf>
    <xf numFmtId="0" fontId="0" fillId="2" borderId="1" xfId="0" applyFill="1" applyBorder="1" applyAlignment="1">
      <alignment horizontal="left" wrapText="1" indent="1"/>
    </xf>
    <xf numFmtId="0" fontId="0" fillId="2" borderId="1" xfId="0" applyFill="1" applyBorder="1" applyAlignment="1">
      <alignment horizontal="left" vertical="center" indent="1"/>
    </xf>
    <xf numFmtId="14" fontId="0" fillId="2" borderId="1" xfId="0" applyNumberFormat="1" applyFill="1" applyBorder="1" applyAlignment="1">
      <alignment horizontal="left" vertical="center" indent="1"/>
    </xf>
    <xf numFmtId="49" fontId="0" fillId="2" borderId="1" xfId="0" applyNumberFormat="1" applyFill="1" applyBorder="1" applyAlignment="1">
      <alignment horizontal="left" indent="1"/>
    </xf>
    <xf numFmtId="164" fontId="0" fillId="2" borderId="1" xfId="0" applyNumberFormat="1" applyFill="1" applyBorder="1" applyAlignment="1">
      <alignment horizontal="left" indent="1"/>
    </xf>
    <xf numFmtId="0" fontId="0" fillId="5" borderId="1" xfId="0" applyFill="1" applyBorder="1" applyAlignment="1">
      <alignment horizontal="left" indent="1"/>
    </xf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left" wrapText="1" indent="1"/>
    </xf>
    <xf numFmtId="164" fontId="0" fillId="0" borderId="1" xfId="0" applyNumberFormat="1" applyBorder="1" applyAlignment="1">
      <alignment horizontal="left" indent="1"/>
    </xf>
    <xf numFmtId="0" fontId="0" fillId="7" borderId="1" xfId="0" applyFill="1" applyBorder="1" applyAlignment="1">
      <alignment horizontal="left" wrapText="1" indent="1"/>
    </xf>
    <xf numFmtId="0" fontId="0" fillId="0" borderId="1" xfId="0" applyBorder="1" applyAlignment="1">
      <alignment horizontal="left" vertical="center" indent="1"/>
    </xf>
    <xf numFmtId="14" fontId="0" fillId="0" borderId="1" xfId="0" applyNumberFormat="1" applyBorder="1" applyAlignment="1">
      <alignment horizontal="left" vertical="center" indent="1"/>
    </xf>
    <xf numFmtId="49" fontId="0" fillId="0" borderId="1" xfId="0" applyNumberFormat="1" applyBorder="1" applyAlignment="1">
      <alignment horizontal="left" indent="1"/>
    </xf>
    <xf numFmtId="14" fontId="0" fillId="0" borderId="1" xfId="0" applyNumberFormat="1" applyBorder="1" applyAlignment="1">
      <alignment horizontal="left" indent="1"/>
    </xf>
    <xf numFmtId="14" fontId="0" fillId="2" borderId="1" xfId="0" applyNumberFormat="1" applyFill="1" applyBorder="1" applyAlignment="1">
      <alignment horizontal="left" indent="1"/>
    </xf>
    <xf numFmtId="0" fontId="11" fillId="7" borderId="1" xfId="0" applyFont="1" applyFill="1" applyBorder="1" applyAlignment="1">
      <alignment horizontal="left" wrapText="1" indent="1"/>
    </xf>
    <xf numFmtId="0" fontId="0" fillId="3" borderId="1" xfId="0" applyFill="1" applyBorder="1" applyAlignment="1">
      <alignment horizontal="left" indent="1"/>
    </xf>
    <xf numFmtId="0" fontId="0" fillId="2" borderId="3" xfId="0" applyFill="1" applyBorder="1" applyAlignment="1">
      <alignment horizontal="left" indent="1"/>
    </xf>
    <xf numFmtId="0" fontId="0" fillId="2" borderId="3" xfId="0" applyFill="1" applyBorder="1" applyAlignment="1">
      <alignment horizontal="left" wrapText="1" indent="1"/>
    </xf>
    <xf numFmtId="14" fontId="0" fillId="2" borderId="3" xfId="0" applyNumberFormat="1" applyFill="1" applyBorder="1" applyAlignment="1">
      <alignment horizontal="left" indent="1"/>
    </xf>
    <xf numFmtId="164" fontId="0" fillId="2" borderId="3" xfId="0" applyNumberFormat="1" applyFill="1" applyBorder="1" applyAlignment="1">
      <alignment horizontal="left" indent="1"/>
    </xf>
    <xf numFmtId="0" fontId="0" fillId="16" borderId="1" xfId="0" applyFill="1" applyBorder="1" applyAlignment="1">
      <alignment horizontal="left" indent="1"/>
    </xf>
    <xf numFmtId="0" fontId="0" fillId="7" borderId="1" xfId="0" applyFill="1" applyBorder="1" applyAlignment="1">
      <alignment horizontal="left" indent="1"/>
    </xf>
    <xf numFmtId="14" fontId="0" fillId="7" borderId="1" xfId="0" applyNumberFormat="1" applyFill="1" applyBorder="1" applyAlignment="1">
      <alignment horizontal="left" indent="1"/>
    </xf>
    <xf numFmtId="49" fontId="0" fillId="7" borderId="1" xfId="0" applyNumberFormat="1" applyFill="1" applyBorder="1" applyAlignment="1">
      <alignment horizontal="left" indent="1"/>
    </xf>
    <xf numFmtId="164" fontId="0" fillId="7" borderId="1" xfId="0" applyNumberFormat="1" applyFill="1" applyBorder="1" applyAlignment="1">
      <alignment horizontal="left" indent="1"/>
    </xf>
    <xf numFmtId="0" fontId="11" fillId="2" borderId="1" xfId="0" applyFont="1" applyFill="1" applyBorder="1" applyAlignment="1">
      <alignment horizontal="left" wrapText="1" indent="1"/>
    </xf>
    <xf numFmtId="49" fontId="0" fillId="3" borderId="1" xfId="0" applyNumberFormat="1" applyFill="1" applyBorder="1" applyAlignment="1">
      <alignment horizontal="left" indent="1"/>
    </xf>
    <xf numFmtId="0" fontId="0" fillId="3" borderId="3" xfId="0" applyFill="1" applyBorder="1" applyAlignment="1">
      <alignment horizontal="left" indent="1"/>
    </xf>
    <xf numFmtId="17" fontId="0" fillId="0" borderId="1" xfId="0" applyNumberFormat="1" applyBorder="1" applyAlignment="1">
      <alignment horizontal="left" indent="1"/>
    </xf>
    <xf numFmtId="0" fontId="0" fillId="2" borderId="1" xfId="0" applyFill="1" applyBorder="1" applyAlignment="1">
      <alignment horizontal="left" vertical="center" wrapText="1" indent="1"/>
    </xf>
    <xf numFmtId="0" fontId="0" fillId="0" borderId="0" xfId="0" applyAlignment="1">
      <alignment horizontal="left" indent="1"/>
    </xf>
    <xf numFmtId="0" fontId="9" fillId="2" borderId="1" xfId="0" applyFont="1" applyFill="1" applyBorder="1" applyAlignment="1">
      <alignment horizontal="left" wrapText="1" indent="1"/>
    </xf>
    <xf numFmtId="0" fontId="11" fillId="0" borderId="1" xfId="0" applyFont="1" applyBorder="1" applyAlignment="1">
      <alignment horizontal="left" wrapText="1" indent="1"/>
    </xf>
    <xf numFmtId="0" fontId="0" fillId="2" borderId="6" xfId="0" applyFill="1" applyBorder="1" applyAlignment="1">
      <alignment horizontal="left" indent="1"/>
    </xf>
    <xf numFmtId="0" fontId="0" fillId="7" borderId="5" xfId="0" applyFill="1" applyBorder="1" applyAlignment="1">
      <alignment horizontal="left" wrapText="1" indent="1"/>
    </xf>
    <xf numFmtId="0" fontId="0" fillId="2" borderId="5" xfId="0" applyFill="1" applyBorder="1" applyAlignment="1">
      <alignment horizontal="left" wrapText="1" indent="1"/>
    </xf>
    <xf numFmtId="49" fontId="0" fillId="2" borderId="3" xfId="0" applyNumberFormat="1" applyFill="1" applyBorder="1" applyAlignment="1">
      <alignment horizontal="left" indent="1"/>
    </xf>
    <xf numFmtId="0" fontId="0" fillId="2" borderId="0" xfId="0" applyFill="1" applyAlignment="1">
      <alignment horizontal="left" vertical="center" indent="1"/>
    </xf>
    <xf numFmtId="0" fontId="9" fillId="0" borderId="1" xfId="0" applyFont="1" applyBorder="1" applyAlignment="1">
      <alignment horizontal="left" indent="1"/>
    </xf>
    <xf numFmtId="0" fontId="11" fillId="7" borderId="1" xfId="0" applyFont="1" applyFill="1" applyBorder="1" applyAlignment="1">
      <alignment horizontal="left" indent="1"/>
    </xf>
    <xf numFmtId="0" fontId="10" fillId="6" borderId="1" xfId="0" applyFont="1" applyFill="1" applyBorder="1" applyAlignment="1">
      <alignment horizontal="center" vertical="center" wrapText="1"/>
    </xf>
    <xf numFmtId="164" fontId="0" fillId="2" borderId="0" xfId="0" applyNumberFormat="1" applyFill="1"/>
    <xf numFmtId="0" fontId="11" fillId="2" borderId="5" xfId="0" applyFont="1" applyFill="1" applyBorder="1" applyAlignment="1">
      <alignment horizontal="left" wrapText="1" indent="1"/>
    </xf>
    <xf numFmtId="0" fontId="0" fillId="2" borderId="2" xfId="0" applyFill="1" applyBorder="1" applyAlignment="1">
      <alignment wrapText="1"/>
    </xf>
    <xf numFmtId="0" fontId="0" fillId="7" borderId="1" xfId="0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 vertical="center"/>
    </xf>
    <xf numFmtId="49" fontId="0" fillId="7" borderId="1" xfId="0" applyNumberFormat="1" applyFill="1" applyBorder="1"/>
    <xf numFmtId="0" fontId="8" fillId="7" borderId="1" xfId="0" applyFont="1" applyFill="1" applyBorder="1"/>
    <xf numFmtId="164" fontId="0" fillId="7" borderId="1" xfId="0" applyNumberFormat="1" applyFill="1" applyBorder="1" applyAlignment="1">
      <alignment horizontal="left"/>
    </xf>
    <xf numFmtId="49" fontId="0" fillId="7" borderId="6" xfId="0" applyNumberFormat="1" applyFill="1" applyBorder="1"/>
    <xf numFmtId="0" fontId="0" fillId="7" borderId="10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 indent="1"/>
    </xf>
    <xf numFmtId="0" fontId="0" fillId="7" borderId="2" xfId="0" applyFill="1" applyBorder="1"/>
    <xf numFmtId="164" fontId="0" fillId="7" borderId="1" xfId="0" applyNumberFormat="1" applyFill="1" applyBorder="1" applyAlignment="1">
      <alignment wrapText="1"/>
    </xf>
    <xf numFmtId="14" fontId="0" fillId="7" borderId="1" xfId="0" applyNumberFormat="1" applyFill="1" applyBorder="1" applyAlignment="1">
      <alignment horizontal="center"/>
    </xf>
    <xf numFmtId="164" fontId="0" fillId="7" borderId="1" xfId="1" applyNumberFormat="1" applyFont="1" applyFill="1" applyBorder="1"/>
    <xf numFmtId="0" fontId="0" fillId="7" borderId="1" xfId="0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49" fontId="0" fillId="7" borderId="1" xfId="0" applyNumberFormat="1" applyFill="1" applyBorder="1" applyAlignment="1">
      <alignment horizontal="left"/>
    </xf>
    <xf numFmtId="0" fontId="0" fillId="7" borderId="10" xfId="0" applyFill="1" applyBorder="1" applyAlignment="1">
      <alignment horizontal="left"/>
    </xf>
    <xf numFmtId="0" fontId="0" fillId="7" borderId="6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9" borderId="6" xfId="0" applyFill="1" applyBorder="1" applyAlignment="1">
      <alignment horizontal="left" indent="1"/>
    </xf>
    <xf numFmtId="0" fontId="11" fillId="9" borderId="6" xfId="0" applyFont="1" applyFill="1" applyBorder="1" applyAlignment="1">
      <alignment horizontal="left" wrapText="1" indent="1"/>
    </xf>
    <xf numFmtId="0" fontId="0" fillId="9" borderId="6" xfId="0" applyFill="1" applyBorder="1" applyAlignment="1">
      <alignment horizontal="left" vertical="center" indent="1"/>
    </xf>
    <xf numFmtId="14" fontId="0" fillId="9" borderId="0" xfId="0" applyNumberFormat="1" applyFill="1" applyAlignment="1">
      <alignment horizontal="left" vertical="center" indent="1"/>
    </xf>
    <xf numFmtId="0" fontId="0" fillId="9" borderId="6" xfId="0" applyFill="1" applyBorder="1" applyAlignment="1">
      <alignment horizontal="left"/>
    </xf>
    <xf numFmtId="164" fontId="0" fillId="9" borderId="6" xfId="0" applyNumberFormat="1" applyFill="1" applyBorder="1" applyAlignment="1">
      <alignment horizontal="left" indent="1"/>
    </xf>
    <xf numFmtId="0" fontId="0" fillId="9" borderId="1" xfId="0" applyFill="1" applyBorder="1" applyAlignment="1">
      <alignment horizontal="left" indent="1"/>
    </xf>
    <xf numFmtId="164" fontId="0" fillId="9" borderId="1" xfId="0" applyNumberFormat="1" applyFill="1" applyBorder="1" applyAlignment="1">
      <alignment horizontal="left" indent="1"/>
    </xf>
    <xf numFmtId="49" fontId="0" fillId="9" borderId="6" xfId="0" applyNumberFormat="1" applyFill="1" applyBorder="1" applyAlignment="1">
      <alignment horizontal="left" indent="1"/>
    </xf>
    <xf numFmtId="0" fontId="0" fillId="9" borderId="0" xfId="0" applyFill="1"/>
    <xf numFmtId="0" fontId="0" fillId="7" borderId="10" xfId="0" applyFill="1" applyBorder="1" applyAlignment="1">
      <alignment horizontal="left" indent="1"/>
    </xf>
    <xf numFmtId="0" fontId="0" fillId="7" borderId="0" xfId="0" applyFill="1" applyAlignment="1">
      <alignment horizontal="left" wrapText="1" indent="1"/>
    </xf>
    <xf numFmtId="164" fontId="0" fillId="7" borderId="10" xfId="0" applyNumberFormat="1" applyFill="1" applyBorder="1" applyAlignment="1">
      <alignment horizontal="left" indent="1"/>
    </xf>
    <xf numFmtId="164" fontId="0" fillId="7" borderId="3" xfId="0" applyNumberFormat="1" applyFill="1" applyBorder="1" applyAlignment="1">
      <alignment horizontal="left" indent="1"/>
    </xf>
    <xf numFmtId="0" fontId="0" fillId="7" borderId="3" xfId="0" applyFill="1" applyBorder="1" applyAlignment="1">
      <alignment horizontal="left" indent="1"/>
    </xf>
    <xf numFmtId="14" fontId="0" fillId="7" borderId="10" xfId="0" applyNumberFormat="1" applyFill="1" applyBorder="1" applyAlignment="1">
      <alignment horizontal="center"/>
    </xf>
    <xf numFmtId="167" fontId="0" fillId="7" borderId="1" xfId="0" applyNumberFormat="1" applyFill="1" applyBorder="1" applyAlignment="1">
      <alignment horizontal="center" vertical="center"/>
    </xf>
    <xf numFmtId="0" fontId="0" fillId="2" borderId="0" xfId="0" applyFill="1" applyAlignment="1">
      <alignment horizontal="left" wrapText="1" indent="1"/>
    </xf>
    <xf numFmtId="0" fontId="8" fillId="7" borderId="1" xfId="0" applyFont="1" applyFill="1" applyBorder="1" applyAlignment="1">
      <alignment wrapText="1"/>
    </xf>
    <xf numFmtId="0" fontId="17" fillId="6" borderId="9" xfId="0" applyFont="1" applyFill="1" applyBorder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7" fillId="6" borderId="6" xfId="0" applyFont="1" applyFill="1" applyBorder="1" applyAlignment="1">
      <alignment horizontal="center" vertical="center"/>
    </xf>
    <xf numFmtId="0" fontId="18" fillId="0" borderId="0" xfId="0" applyFont="1"/>
    <xf numFmtId="0" fontId="18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49" fontId="18" fillId="0" borderId="1" xfId="0" applyNumberFormat="1" applyFont="1" applyBorder="1" applyAlignment="1">
      <alignment horizontal="left" vertical="center"/>
    </xf>
    <xf numFmtId="164" fontId="18" fillId="0" borderId="1" xfId="1" applyNumberFormat="1" applyFont="1" applyBorder="1" applyAlignment="1">
      <alignment horizontal="left" vertical="center"/>
    </xf>
    <xf numFmtId="164" fontId="18" fillId="0" borderId="1" xfId="0" applyNumberFormat="1" applyFont="1" applyBorder="1" applyAlignment="1">
      <alignment horizontal="left" vertical="center"/>
    </xf>
    <xf numFmtId="164" fontId="18" fillId="3" borderId="1" xfId="0" applyNumberFormat="1" applyFont="1" applyFill="1" applyBorder="1" applyAlignment="1">
      <alignment horizontal="left" vertical="center"/>
    </xf>
    <xf numFmtId="0" fontId="18" fillId="3" borderId="1" xfId="0" applyFont="1" applyFill="1" applyBorder="1" applyAlignment="1">
      <alignment horizontal="left" vertical="center"/>
    </xf>
    <xf numFmtId="0" fontId="17" fillId="2" borderId="1" xfId="0" applyFont="1" applyFill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2" borderId="4" xfId="0" applyFont="1" applyFill="1" applyBorder="1" applyAlignment="1">
      <alignment horizontal="left" vertical="center"/>
    </xf>
    <xf numFmtId="0" fontId="19" fillId="2" borderId="3" xfId="0" applyFont="1" applyFill="1" applyBorder="1" applyAlignment="1">
      <alignment horizontal="left" vertical="center"/>
    </xf>
    <xf numFmtId="164" fontId="18" fillId="2" borderId="1" xfId="0" applyNumberFormat="1" applyFont="1" applyFill="1" applyBorder="1" applyAlignment="1">
      <alignment horizontal="left" vertical="center"/>
    </xf>
    <xf numFmtId="0" fontId="19" fillId="2" borderId="6" xfId="0" applyFont="1" applyFill="1" applyBorder="1" applyAlignment="1">
      <alignment horizontal="left" vertical="center"/>
    </xf>
    <xf numFmtId="164" fontId="18" fillId="2" borderId="6" xfId="0" applyNumberFormat="1" applyFont="1" applyFill="1" applyBorder="1" applyAlignment="1">
      <alignment horizontal="left" vertical="center"/>
    </xf>
    <xf numFmtId="164" fontId="18" fillId="3" borderId="6" xfId="0" applyNumberFormat="1" applyFont="1" applyFill="1" applyBorder="1" applyAlignment="1">
      <alignment horizontal="left" vertical="center"/>
    </xf>
    <xf numFmtId="0" fontId="18" fillId="3" borderId="6" xfId="0" applyFont="1" applyFill="1" applyBorder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0" fontId="18" fillId="2" borderId="1" xfId="0" applyFont="1" applyFill="1" applyBorder="1" applyAlignment="1">
      <alignment horizontal="left" vertical="center"/>
    </xf>
    <xf numFmtId="0" fontId="19" fillId="2" borderId="1" xfId="0" applyFont="1" applyFill="1" applyBorder="1" applyAlignment="1">
      <alignment horizontal="left" vertical="center"/>
    </xf>
    <xf numFmtId="0" fontId="18" fillId="2" borderId="1" xfId="0" applyFont="1" applyFill="1" applyBorder="1" applyAlignment="1">
      <alignment horizontal="left" vertical="center" wrapText="1"/>
    </xf>
    <xf numFmtId="0" fontId="19" fillId="2" borderId="1" xfId="0" applyFont="1" applyFill="1" applyBorder="1" applyAlignment="1">
      <alignment horizontal="left" vertical="center" wrapText="1"/>
    </xf>
    <xf numFmtId="49" fontId="18" fillId="2" borderId="1" xfId="0" applyNumberFormat="1" applyFont="1" applyFill="1" applyBorder="1" applyAlignment="1">
      <alignment horizontal="left" vertical="center" wrapText="1"/>
    </xf>
    <xf numFmtId="165" fontId="18" fillId="2" borderId="1" xfId="0" applyNumberFormat="1" applyFont="1" applyFill="1" applyBorder="1" applyAlignment="1">
      <alignment horizontal="left" vertical="center" wrapText="1"/>
    </xf>
    <xf numFmtId="165" fontId="18" fillId="0" borderId="1" xfId="0" applyNumberFormat="1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164" fontId="18" fillId="2" borderId="1" xfId="0" applyNumberFormat="1" applyFont="1" applyFill="1" applyBorder="1" applyAlignment="1">
      <alignment horizontal="left" vertical="center" wrapText="1"/>
    </xf>
    <xf numFmtId="164" fontId="18" fillId="3" borderId="1" xfId="0" applyNumberFormat="1" applyFont="1" applyFill="1" applyBorder="1" applyAlignment="1">
      <alignment horizontal="left" vertical="center" wrapText="1"/>
    </xf>
    <xf numFmtId="0" fontId="18" fillId="3" borderId="1" xfId="0" applyFont="1" applyFill="1" applyBorder="1" applyAlignment="1">
      <alignment horizontal="left" vertical="center" wrapText="1"/>
    </xf>
    <xf numFmtId="49" fontId="18" fillId="0" borderId="1" xfId="0" applyNumberFormat="1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11" fontId="18" fillId="0" borderId="1" xfId="0" applyNumberFormat="1" applyFont="1" applyBorder="1" applyAlignment="1">
      <alignment horizontal="left" vertical="center" wrapText="1"/>
    </xf>
    <xf numFmtId="14" fontId="18" fillId="0" borderId="1" xfId="0" applyNumberFormat="1" applyFont="1" applyBorder="1" applyAlignment="1">
      <alignment horizontal="left" vertical="center" wrapText="1"/>
    </xf>
    <xf numFmtId="0" fontId="4" fillId="18" borderId="1" xfId="0" applyFont="1" applyFill="1" applyBorder="1"/>
    <xf numFmtId="14" fontId="4" fillId="10" borderId="1" xfId="0" applyNumberFormat="1" applyFont="1" applyFill="1" applyBorder="1" applyAlignment="1">
      <alignment horizontal="left"/>
    </xf>
    <xf numFmtId="0" fontId="4" fillId="10" borderId="1" xfId="0" applyFont="1" applyFill="1" applyBorder="1" applyAlignment="1">
      <alignment horizontal="left"/>
    </xf>
    <xf numFmtId="14" fontId="4" fillId="2" borderId="1" xfId="0" applyNumberFormat="1" applyFont="1" applyFill="1" applyBorder="1"/>
    <xf numFmtId="0" fontId="4" fillId="2" borderId="1" xfId="0" applyFont="1" applyFill="1" applyBorder="1" applyAlignment="1">
      <alignment horizontal="left"/>
    </xf>
    <xf numFmtId="0" fontId="4" fillId="2" borderId="3" xfId="0" applyFont="1" applyFill="1" applyBorder="1"/>
    <xf numFmtId="0" fontId="8" fillId="2" borderId="0" xfId="0" applyFont="1" applyFill="1"/>
    <xf numFmtId="0" fontId="4" fillId="2" borderId="6" xfId="0" applyFont="1" applyFill="1" applyBorder="1"/>
    <xf numFmtId="0" fontId="2" fillId="19" borderId="1" xfId="0" applyFont="1" applyFill="1" applyBorder="1"/>
    <xf numFmtId="0" fontId="2" fillId="19" borderId="1" xfId="0" applyFont="1" applyFill="1" applyBorder="1" applyAlignment="1">
      <alignment horizontal="center" vertical="center"/>
    </xf>
    <xf numFmtId="164" fontId="25" fillId="2" borderId="1" xfId="0" applyNumberFormat="1" applyFont="1" applyFill="1" applyBorder="1"/>
    <xf numFmtId="164" fontId="25" fillId="5" borderId="1" xfId="0" applyNumberFormat="1" applyFont="1" applyFill="1" applyBorder="1"/>
    <xf numFmtId="164" fontId="4" fillId="2" borderId="1" xfId="1" applyNumberFormat="1" applyFont="1" applyFill="1" applyBorder="1"/>
    <xf numFmtId="49" fontId="4" fillId="2" borderId="1" xfId="0" applyNumberFormat="1" applyFont="1" applyFill="1" applyBorder="1"/>
    <xf numFmtId="14" fontId="4" fillId="2" borderId="1" xfId="0" applyNumberFormat="1" applyFont="1" applyFill="1" applyBorder="1" applyAlignment="1">
      <alignment horizontal="left"/>
    </xf>
    <xf numFmtId="0" fontId="0" fillId="2" borderId="1" xfId="0" applyFill="1" applyBorder="1" applyAlignment="1">
      <alignment horizontal="left" wrapText="1"/>
    </xf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vertical="center"/>
    </xf>
    <xf numFmtId="0" fontId="25" fillId="2" borderId="1" xfId="0" applyFont="1" applyFill="1" applyBorder="1"/>
    <xf numFmtId="0" fontId="0" fillId="2" borderId="0" xfId="0" applyFill="1" applyAlignment="1">
      <alignment wrapText="1"/>
    </xf>
    <xf numFmtId="0" fontId="0" fillId="2" borderId="0" xfId="0" applyFill="1" applyAlignment="1">
      <alignment horizontal="left" wrapText="1"/>
    </xf>
    <xf numFmtId="164" fontId="4" fillId="2" borderId="1" xfId="0" applyNumberFormat="1" applyFont="1" applyFill="1" applyBorder="1" applyAlignment="1">
      <alignment horizontal="left"/>
    </xf>
    <xf numFmtId="0" fontId="0" fillId="2" borderId="0" xfId="0" applyFill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0" fontId="4" fillId="20" borderId="1" xfId="0" applyFont="1" applyFill="1" applyBorder="1"/>
    <xf numFmtId="14" fontId="4" fillId="20" borderId="1" xfId="0" applyNumberFormat="1" applyFont="1" applyFill="1" applyBorder="1" applyAlignment="1">
      <alignment horizontal="left"/>
    </xf>
    <xf numFmtId="0" fontId="25" fillId="20" borderId="1" xfId="0" applyFont="1" applyFill="1" applyBorder="1"/>
    <xf numFmtId="0" fontId="4" fillId="3" borderId="1" xfId="0" applyFont="1" applyFill="1" applyBorder="1" applyAlignment="1">
      <alignment horizontal="left"/>
    </xf>
    <xf numFmtId="164" fontId="0" fillId="2" borderId="0" xfId="0" applyNumberFormat="1" applyFill="1" applyAlignment="1">
      <alignment horizontal="left"/>
    </xf>
    <xf numFmtId="14" fontId="25" fillId="2" borderId="1" xfId="0" applyNumberFormat="1" applyFont="1" applyFill="1" applyBorder="1" applyAlignment="1">
      <alignment horizontal="left"/>
    </xf>
    <xf numFmtId="0" fontId="4" fillId="2" borderId="5" xfId="0" applyFont="1" applyFill="1" applyBorder="1" applyAlignment="1">
      <alignment horizontal="left"/>
    </xf>
    <xf numFmtId="0" fontId="4" fillId="2" borderId="5" xfId="0" applyFont="1" applyFill="1" applyBorder="1"/>
    <xf numFmtId="0" fontId="4" fillId="8" borderId="1" xfId="0" applyFont="1" applyFill="1" applyBorder="1"/>
    <xf numFmtId="0" fontId="4" fillId="7" borderId="1" xfId="0" applyFont="1" applyFill="1" applyBorder="1" applyAlignment="1">
      <alignment horizontal="left" wrapText="1"/>
    </xf>
    <xf numFmtId="14" fontId="4" fillId="7" borderId="1" xfId="0" applyNumberFormat="1" applyFont="1" applyFill="1" applyBorder="1" applyAlignment="1">
      <alignment horizontal="left"/>
    </xf>
    <xf numFmtId="0" fontId="4" fillId="7" borderId="1" xfId="0" applyFont="1" applyFill="1" applyBorder="1" applyAlignment="1">
      <alignment horizontal="left"/>
    </xf>
    <xf numFmtId="164" fontId="4" fillId="7" borderId="1" xfId="0" applyNumberFormat="1" applyFont="1" applyFill="1" applyBorder="1"/>
    <xf numFmtId="49" fontId="4" fillId="7" borderId="1" xfId="0" applyNumberFormat="1" applyFont="1" applyFill="1" applyBorder="1"/>
    <xf numFmtId="167" fontId="0" fillId="2" borderId="0" xfId="1" applyNumberFormat="1" applyFont="1" applyFill="1"/>
    <xf numFmtId="164" fontId="0" fillId="4" borderId="1" xfId="0" applyNumberFormat="1" applyFill="1" applyBorder="1"/>
    <xf numFmtId="0" fontId="2" fillId="19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wrapText="1"/>
    </xf>
    <xf numFmtId="14" fontId="4" fillId="18" borderId="1" xfId="0" applyNumberFormat="1" applyFont="1" applyFill="1" applyBorder="1" applyAlignment="1">
      <alignment horizontal="left"/>
    </xf>
    <xf numFmtId="0" fontId="4" fillId="18" borderId="1" xfId="0" applyFont="1" applyFill="1" applyBorder="1" applyAlignment="1">
      <alignment horizontal="left"/>
    </xf>
    <xf numFmtId="164" fontId="4" fillId="18" borderId="1" xfId="0" applyNumberFormat="1" applyFont="1" applyFill="1" applyBorder="1"/>
    <xf numFmtId="0" fontId="0" fillId="18" borderId="0" xfId="0" applyFill="1"/>
    <xf numFmtId="14" fontId="4" fillId="18" borderId="1" xfId="0" applyNumberFormat="1" applyFont="1" applyFill="1" applyBorder="1" applyAlignment="1">
      <alignment horizontal="left" wrapText="1"/>
    </xf>
    <xf numFmtId="164" fontId="4" fillId="18" borderId="1" xfId="0" applyNumberFormat="1" applyFont="1" applyFill="1" applyBorder="1" applyAlignment="1">
      <alignment horizontal="left"/>
    </xf>
    <xf numFmtId="0" fontId="4" fillId="18" borderId="3" xfId="0" applyFont="1" applyFill="1" applyBorder="1"/>
    <xf numFmtId="49" fontId="4" fillId="18" borderId="1" xfId="0" applyNumberFormat="1" applyFont="1" applyFill="1" applyBorder="1"/>
    <xf numFmtId="0" fontId="4" fillId="18" borderId="1" xfId="0" applyFont="1" applyFill="1" applyBorder="1" applyAlignment="1">
      <alignment horizontal="left" wrapText="1"/>
    </xf>
    <xf numFmtId="0" fontId="4" fillId="18" borderId="6" xfId="0" applyFont="1" applyFill="1" applyBorder="1"/>
    <xf numFmtId="0" fontId="0" fillId="18" borderId="1" xfId="0" applyFill="1" applyBorder="1"/>
    <xf numFmtId="164" fontId="4" fillId="7" borderId="1" xfId="0" applyNumberFormat="1" applyFont="1" applyFill="1" applyBorder="1" applyAlignment="1">
      <alignment horizontal="left"/>
    </xf>
    <xf numFmtId="49" fontId="4" fillId="18" borderId="1" xfId="0" applyNumberFormat="1" applyFont="1" applyFill="1" applyBorder="1" applyAlignment="1">
      <alignment horizontal="left"/>
    </xf>
    <xf numFmtId="0" fontId="0" fillId="18" borderId="6" xfId="0" applyFill="1" applyBorder="1"/>
    <xf numFmtId="164" fontId="25" fillId="7" borderId="1" xfId="0" applyNumberFormat="1" applyFont="1" applyFill="1" applyBorder="1"/>
    <xf numFmtId="0" fontId="10" fillId="21" borderId="1" xfId="0" applyFont="1" applyFill="1" applyBorder="1" applyAlignment="1">
      <alignment horizontal="center" vertical="center" wrapText="1"/>
    </xf>
    <xf numFmtId="0" fontId="4" fillId="22" borderId="1" xfId="0" applyFont="1" applyFill="1" applyBorder="1"/>
    <xf numFmtId="0" fontId="4" fillId="22" borderId="1" xfId="0" applyFont="1" applyFill="1" applyBorder="1" applyAlignment="1">
      <alignment horizontal="left"/>
    </xf>
    <xf numFmtId="14" fontId="4" fillId="22" borderId="1" xfId="0" applyNumberFormat="1" applyFont="1" applyFill="1" applyBorder="1" applyAlignment="1">
      <alignment horizontal="left"/>
    </xf>
    <xf numFmtId="164" fontId="4" fillId="22" borderId="1" xfId="0" applyNumberFormat="1" applyFont="1" applyFill="1" applyBorder="1"/>
    <xf numFmtId="0" fontId="0" fillId="22" borderId="0" xfId="0" applyFill="1"/>
    <xf numFmtId="0" fontId="4" fillId="18" borderId="6" xfId="0" applyFont="1" applyFill="1" applyBorder="1" applyAlignment="1">
      <alignment horizontal="left" wrapText="1"/>
    </xf>
    <xf numFmtId="14" fontId="4" fillId="18" borderId="6" xfId="0" applyNumberFormat="1" applyFont="1" applyFill="1" applyBorder="1" applyAlignment="1">
      <alignment horizontal="left"/>
    </xf>
    <xf numFmtId="0" fontId="4" fillId="18" borderId="6" xfId="0" applyFont="1" applyFill="1" applyBorder="1" applyAlignment="1">
      <alignment horizontal="left"/>
    </xf>
    <xf numFmtId="164" fontId="4" fillId="18" borderId="6" xfId="0" applyNumberFormat="1" applyFont="1" applyFill="1" applyBorder="1"/>
    <xf numFmtId="164" fontId="4" fillId="18" borderId="6" xfId="0" applyNumberFormat="1" applyFont="1" applyFill="1" applyBorder="1" applyAlignment="1">
      <alignment horizontal="left"/>
    </xf>
    <xf numFmtId="44" fontId="4" fillId="2" borderId="1" xfId="1" applyFont="1" applyFill="1" applyBorder="1"/>
    <xf numFmtId="0" fontId="4" fillId="2" borderId="1" xfId="1" applyNumberFormat="1" applyFont="1" applyFill="1" applyBorder="1" applyAlignment="1"/>
    <xf numFmtId="49" fontId="4" fillId="2" borderId="1" xfId="1" applyNumberFormat="1" applyFont="1" applyFill="1" applyBorder="1" applyAlignment="1">
      <alignment horizontal="left"/>
    </xf>
    <xf numFmtId="44" fontId="0" fillId="2" borderId="0" xfId="1" applyFont="1" applyFill="1"/>
  </cellXfs>
  <cellStyles count="3">
    <cellStyle name="Moneda" xfId="1" builtinId="4"/>
    <cellStyle name="Normal" xfId="0" builtinId="0"/>
    <cellStyle name="Porcentaje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366497</xdr:colOff>
      <xdr:row>0</xdr:row>
      <xdr:rowOff>183446</xdr:rowOff>
    </xdr:from>
    <xdr:to>
      <xdr:col>19</xdr:col>
      <xdr:colOff>671297</xdr:colOff>
      <xdr:row>388</xdr:row>
      <xdr:rowOff>256097</xdr:rowOff>
    </xdr:to>
    <xdr:sp macro="" textlink="">
      <xdr:nvSpPr>
        <xdr:cNvPr id="4115" name="AutoShape 19" descr="Imagen de perfil.">
          <a:extLst>
            <a:ext uri="{FF2B5EF4-FFF2-40B4-BE49-F238E27FC236}">
              <a16:creationId xmlns:a16="http://schemas.microsoft.com/office/drawing/2014/main" id="{F9499F6C-072C-2216-8B2F-ACFD43E0176E}"/>
            </a:ext>
          </a:extLst>
        </xdr:cNvPr>
        <xdr:cNvSpPr>
          <a:spLocks noChangeAspect="1" noChangeArrowheads="1"/>
        </xdr:cNvSpPr>
      </xdr:nvSpPr>
      <xdr:spPr bwMode="auto">
        <a:xfrm>
          <a:off x="27332830" y="183446"/>
          <a:ext cx="304800" cy="90877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Guillermo Krause" id="{92D4333C-4808-4B24-85E9-8C3275CA84F1}" userId="S::guillermo.krause@riskmediagroup.net::081f9ae5-c77c-4816-884d-094f8aba492d" providerId="AD"/>
  <person displayName="Maximiliano Silva" id="{7DE62DE8-18A6-41A0-9C89-EAD14D4996FC}" userId="S::maximiliano.silva@riskmediagroup.com::d0069e59-70ef-4c89-9b6f-1dcf62d1887f" providerId="AD"/>
</personLis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02" dT="2024-12-05T19:52:57.86" personId="{7DE62DE8-18A6-41A0-9C89-EAD14D4996FC}" id="{188B1FE9-BDCA-4E75-B6F0-7D7126520D39}">
    <text>REVISAR, LA PRIMA NETA DE LA POLIZA ES DE 110,382.52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6" dT="2025-07-01T03:46:29.35" personId="{7DE62DE8-18A6-41A0-9C89-EAD14D4996FC}" id="{9E17B98D-87FE-4393-85CE-C62F181ED396}">
    <text>Revisar prima en la póliza</text>
  </threadedComment>
  <threadedComment ref="Q51" dT="2025-07-02T16:21:48.81" personId="{7DE62DE8-18A6-41A0-9C89-EAD14D4996FC}" id="{48B96FED-CA43-4277-A8E1-0B88D8A1152F}">
    <text>REVISAR PRIMA NO COINCIDE</text>
  </threadedComment>
  <threadedComment ref="V114" dT="2025-05-09T18:54:41.69" personId="{92D4333C-4808-4B24-85E9-8C3275CA84F1}" id="{C09F420B-2C44-4C2B-B233-95613419769A}">
    <text xml:space="preserve">Comisión recibida en US,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0D432-6273-48A3-99E1-61C7C3E9277C}">
  <sheetPr filterMode="1"/>
  <dimension ref="A1:Y143"/>
  <sheetViews>
    <sheetView zoomScale="46" zoomScaleNormal="81" workbookViewId="0">
      <selection activeCell="C136" sqref="C136"/>
    </sheetView>
  </sheetViews>
  <sheetFormatPr baseColWidth="10" defaultColWidth="36.44140625" defaultRowHeight="31.35" customHeight="1" x14ac:dyDescent="0.3"/>
  <cols>
    <col min="1" max="1" width="42.5546875" customWidth="1"/>
    <col min="2" max="2" width="43.5546875" customWidth="1"/>
    <col min="4" max="4" width="36.44140625" customWidth="1"/>
    <col min="5" max="5" width="48.5546875" customWidth="1"/>
    <col min="6" max="6" width="48.109375" customWidth="1"/>
    <col min="7" max="7" width="46.44140625" customWidth="1"/>
    <col min="8" max="8" width="36.44140625" hidden="1" customWidth="1"/>
    <col min="9" max="9" width="36.44140625" customWidth="1"/>
    <col min="10" max="10" width="43.109375" customWidth="1"/>
    <col min="11" max="11" width="36.44140625" customWidth="1"/>
    <col min="12" max="12" width="51.44140625" customWidth="1"/>
    <col min="13" max="13" width="47.44140625" customWidth="1"/>
    <col min="14" max="14" width="39.44140625" customWidth="1"/>
    <col min="15" max="15" width="68.5546875" customWidth="1"/>
    <col min="16" max="16" width="40.44140625" customWidth="1"/>
    <col min="20" max="20" width="39.5546875" customWidth="1"/>
  </cols>
  <sheetData>
    <row r="1" spans="1:20" ht="31.35" customHeight="1" x14ac:dyDescent="0.3">
      <c r="A1" s="24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6" t="s">
        <v>6</v>
      </c>
      <c r="H1" s="27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</row>
    <row r="2" spans="1:20" ht="31.35" hidden="1" customHeight="1" x14ac:dyDescent="0.3">
      <c r="A2" s="6" t="s">
        <v>20</v>
      </c>
      <c r="B2" s="5" t="s">
        <v>21</v>
      </c>
      <c r="C2" s="41">
        <v>618401</v>
      </c>
      <c r="D2" s="48">
        <v>44483</v>
      </c>
      <c r="E2" s="45" t="s">
        <v>22</v>
      </c>
      <c r="F2" s="6" t="s">
        <v>23</v>
      </c>
      <c r="G2" s="6" t="s">
        <v>24</v>
      </c>
      <c r="H2" s="6" t="s">
        <v>25</v>
      </c>
      <c r="I2" s="10">
        <v>680000</v>
      </c>
      <c r="J2" s="9">
        <f>91800-76728.48</f>
        <v>15071.520000000004</v>
      </c>
      <c r="K2" s="5" t="s">
        <v>26</v>
      </c>
      <c r="L2" s="9">
        <v>0</v>
      </c>
      <c r="M2" s="49" t="s">
        <v>27</v>
      </c>
      <c r="N2" s="9">
        <f t="shared" ref="N2:N13" si="0">J2</f>
        <v>15071.520000000004</v>
      </c>
      <c r="O2" s="50" t="s">
        <v>27</v>
      </c>
      <c r="P2" s="50" t="s">
        <v>27</v>
      </c>
      <c r="Q2" s="51"/>
      <c r="R2" s="51"/>
      <c r="S2" s="41" t="s">
        <v>28</v>
      </c>
    </row>
    <row r="3" spans="1:20" ht="31.35" hidden="1" customHeight="1" x14ac:dyDescent="0.3">
      <c r="A3" s="6" t="s">
        <v>29</v>
      </c>
      <c r="B3" s="5" t="s">
        <v>30</v>
      </c>
      <c r="C3" s="41">
        <v>618001</v>
      </c>
      <c r="D3" s="48">
        <v>44487</v>
      </c>
      <c r="E3" s="45" t="s">
        <v>22</v>
      </c>
      <c r="F3" s="6" t="s">
        <v>23</v>
      </c>
      <c r="G3" s="6" t="s">
        <v>24</v>
      </c>
      <c r="H3" s="6" t="s">
        <v>25</v>
      </c>
      <c r="I3" s="10">
        <v>418076.56</v>
      </c>
      <c r="J3" s="9">
        <v>56440.34</v>
      </c>
      <c r="K3" s="11" t="s">
        <v>26</v>
      </c>
      <c r="L3" s="9">
        <v>0</v>
      </c>
      <c r="M3" s="49" t="s">
        <v>27</v>
      </c>
      <c r="N3" s="9">
        <f t="shared" si="0"/>
        <v>56440.34</v>
      </c>
      <c r="O3" s="50" t="s">
        <v>27</v>
      </c>
      <c r="P3" s="50" t="s">
        <v>27</v>
      </c>
      <c r="Q3" s="51"/>
      <c r="R3" s="51"/>
      <c r="S3" s="41" t="s">
        <v>28</v>
      </c>
    </row>
    <row r="4" spans="1:20" ht="31.35" hidden="1" customHeight="1" x14ac:dyDescent="0.3">
      <c r="A4" s="6" t="s">
        <v>31</v>
      </c>
      <c r="B4" s="5" t="s">
        <v>32</v>
      </c>
      <c r="C4" s="41">
        <v>541501</v>
      </c>
      <c r="D4" s="48">
        <v>44368</v>
      </c>
      <c r="E4" s="6" t="s">
        <v>33</v>
      </c>
      <c r="F4" s="6" t="s">
        <v>34</v>
      </c>
      <c r="G4" s="6" t="s">
        <v>35</v>
      </c>
      <c r="H4" s="6" t="s">
        <v>25</v>
      </c>
      <c r="I4" s="10">
        <v>14900</v>
      </c>
      <c r="J4" s="9">
        <v>1005.75</v>
      </c>
      <c r="K4" s="5" t="s">
        <v>26</v>
      </c>
      <c r="L4" s="9">
        <v>0</v>
      </c>
      <c r="M4" s="49" t="s">
        <v>27</v>
      </c>
      <c r="N4" s="9">
        <f t="shared" si="0"/>
        <v>1005.75</v>
      </c>
      <c r="O4" s="50" t="s">
        <v>27</v>
      </c>
      <c r="P4" s="50" t="s">
        <v>27</v>
      </c>
      <c r="Q4" s="51"/>
      <c r="R4" s="51"/>
      <c r="S4" s="41" t="s">
        <v>28</v>
      </c>
    </row>
    <row r="5" spans="1:20" ht="31.35" hidden="1" customHeight="1" x14ac:dyDescent="0.3">
      <c r="A5" s="6" t="s">
        <v>36</v>
      </c>
      <c r="B5" s="5" t="s">
        <v>37</v>
      </c>
      <c r="C5" s="41">
        <v>7000138</v>
      </c>
      <c r="D5" s="48">
        <v>44536</v>
      </c>
      <c r="E5" s="29" t="s">
        <v>38</v>
      </c>
      <c r="F5" s="6" t="s">
        <v>39</v>
      </c>
      <c r="G5" s="6" t="s">
        <v>24</v>
      </c>
      <c r="H5" s="6" t="s">
        <v>40</v>
      </c>
      <c r="I5" s="10">
        <v>298000</v>
      </c>
      <c r="J5" s="9">
        <v>40961.57</v>
      </c>
      <c r="K5" s="5" t="s">
        <v>26</v>
      </c>
      <c r="L5" s="9">
        <v>0</v>
      </c>
      <c r="M5" s="49" t="s">
        <v>27</v>
      </c>
      <c r="N5" s="10">
        <f t="shared" si="0"/>
        <v>40961.57</v>
      </c>
      <c r="O5" s="50" t="s">
        <v>27</v>
      </c>
      <c r="P5" s="50" t="s">
        <v>27</v>
      </c>
      <c r="Q5" s="51"/>
      <c r="R5" s="51"/>
      <c r="S5" s="41" t="s">
        <v>28</v>
      </c>
    </row>
    <row r="6" spans="1:20" ht="31.35" hidden="1" customHeight="1" x14ac:dyDescent="0.3">
      <c r="A6" s="6" t="s">
        <v>29</v>
      </c>
      <c r="B6" s="5" t="s">
        <v>30</v>
      </c>
      <c r="C6" s="41">
        <v>7000143</v>
      </c>
      <c r="D6" s="48">
        <v>44560</v>
      </c>
      <c r="E6" s="29" t="s">
        <v>38</v>
      </c>
      <c r="F6" s="6" t="s">
        <v>39</v>
      </c>
      <c r="G6" s="6" t="s">
        <v>24</v>
      </c>
      <c r="H6" s="6" t="s">
        <v>40</v>
      </c>
      <c r="I6" s="10">
        <v>228571.4</v>
      </c>
      <c r="J6" s="9">
        <v>31830.45</v>
      </c>
      <c r="K6" s="5" t="s">
        <v>26</v>
      </c>
      <c r="L6" s="9">
        <v>0</v>
      </c>
      <c r="M6" s="49" t="s">
        <v>27</v>
      </c>
      <c r="N6" s="10">
        <f t="shared" si="0"/>
        <v>31830.45</v>
      </c>
      <c r="O6" s="50" t="s">
        <v>27</v>
      </c>
      <c r="P6" s="50" t="s">
        <v>27</v>
      </c>
      <c r="Q6" s="51"/>
      <c r="R6" s="51"/>
      <c r="S6" s="41" t="s">
        <v>28</v>
      </c>
    </row>
    <row r="7" spans="1:20" ht="31.35" hidden="1" customHeight="1" x14ac:dyDescent="0.3">
      <c r="A7" s="6" t="s">
        <v>41</v>
      </c>
      <c r="B7" s="5" t="s">
        <v>42</v>
      </c>
      <c r="C7" s="6" t="s">
        <v>43</v>
      </c>
      <c r="D7" s="48">
        <v>44573</v>
      </c>
      <c r="E7" s="6" t="s">
        <v>44</v>
      </c>
      <c r="F7" s="6" t="s">
        <v>45</v>
      </c>
      <c r="G7" s="6" t="s">
        <v>46</v>
      </c>
      <c r="H7" s="6" t="s">
        <v>47</v>
      </c>
      <c r="I7" s="10">
        <v>60666</v>
      </c>
      <c r="J7" s="9">
        <v>3275.55</v>
      </c>
      <c r="K7" s="5" t="s">
        <v>26</v>
      </c>
      <c r="L7" s="1">
        <v>0</v>
      </c>
      <c r="M7" s="49" t="s">
        <v>27</v>
      </c>
      <c r="N7" s="9">
        <f t="shared" si="0"/>
        <v>3275.55</v>
      </c>
      <c r="O7" s="50" t="s">
        <v>27</v>
      </c>
      <c r="P7" s="50" t="s">
        <v>27</v>
      </c>
      <c r="Q7" s="51"/>
      <c r="R7" s="51"/>
      <c r="S7" s="41" t="s">
        <v>28</v>
      </c>
    </row>
    <row r="8" spans="1:20" ht="31.35" hidden="1" customHeight="1" x14ac:dyDescent="0.3">
      <c r="A8" s="6" t="s">
        <v>48</v>
      </c>
      <c r="B8" s="5" t="s">
        <v>49</v>
      </c>
      <c r="C8" s="41">
        <v>7000135</v>
      </c>
      <c r="D8" s="48">
        <v>44510</v>
      </c>
      <c r="E8" s="29" t="s">
        <v>50</v>
      </c>
      <c r="F8" s="6" t="s">
        <v>39</v>
      </c>
      <c r="G8" s="6" t="s">
        <v>46</v>
      </c>
      <c r="H8" s="6" t="s">
        <v>40</v>
      </c>
      <c r="I8" s="10">
        <v>11538.46</v>
      </c>
      <c r="J8" s="9">
        <v>778.85</v>
      </c>
      <c r="K8" s="5" t="s">
        <v>26</v>
      </c>
      <c r="L8" s="9">
        <v>0</v>
      </c>
      <c r="M8" s="49" t="s">
        <v>27</v>
      </c>
      <c r="N8" s="9">
        <f t="shared" si="0"/>
        <v>778.85</v>
      </c>
      <c r="O8" s="50" t="s">
        <v>27</v>
      </c>
      <c r="P8" s="50" t="s">
        <v>27</v>
      </c>
      <c r="Q8" s="51"/>
      <c r="R8" s="51"/>
      <c r="S8" s="41" t="s">
        <v>28</v>
      </c>
    </row>
    <row r="9" spans="1:20" ht="31.35" hidden="1" customHeight="1" x14ac:dyDescent="0.3">
      <c r="A9" s="6" t="s">
        <v>51</v>
      </c>
      <c r="B9" s="5" t="s">
        <v>52</v>
      </c>
      <c r="C9" s="41">
        <v>644201</v>
      </c>
      <c r="D9" s="48">
        <v>44529</v>
      </c>
      <c r="E9" s="29" t="s">
        <v>38</v>
      </c>
      <c r="F9" s="6" t="s">
        <v>53</v>
      </c>
      <c r="G9" s="6" t="s">
        <v>24</v>
      </c>
      <c r="H9" s="52" t="s">
        <v>25</v>
      </c>
      <c r="I9" s="34">
        <v>300000</v>
      </c>
      <c r="J9" s="53">
        <f>I9*0.15</f>
        <v>45000</v>
      </c>
      <c r="K9" s="7" t="s">
        <v>26</v>
      </c>
      <c r="L9" s="8">
        <v>0</v>
      </c>
      <c r="M9" s="49" t="s">
        <v>27</v>
      </c>
      <c r="N9" s="8">
        <f t="shared" si="0"/>
        <v>45000</v>
      </c>
      <c r="O9" s="50" t="s">
        <v>27</v>
      </c>
      <c r="P9" s="50" t="s">
        <v>27</v>
      </c>
      <c r="Q9" s="54">
        <v>44561</v>
      </c>
      <c r="R9" s="55">
        <v>5323</v>
      </c>
      <c r="S9" s="56" t="s">
        <v>54</v>
      </c>
    </row>
    <row r="10" spans="1:20" ht="31.35" hidden="1" customHeight="1" x14ac:dyDescent="0.3">
      <c r="A10" s="6" t="s">
        <v>55</v>
      </c>
      <c r="B10" s="5" t="s">
        <v>56</v>
      </c>
      <c r="C10" s="41">
        <v>645201</v>
      </c>
      <c r="D10" s="48">
        <v>44518</v>
      </c>
      <c r="E10" s="29" t="s">
        <v>50</v>
      </c>
      <c r="F10" s="6" t="s">
        <v>57</v>
      </c>
      <c r="G10" s="6" t="s">
        <v>24</v>
      </c>
      <c r="H10" s="52" t="s">
        <v>25</v>
      </c>
      <c r="I10" s="9">
        <v>1305528.27</v>
      </c>
      <c r="J10" s="53">
        <f>I10*0.165</f>
        <v>215412.16455000002</v>
      </c>
      <c r="K10" s="7" t="s">
        <v>26</v>
      </c>
      <c r="L10" s="8">
        <v>0</v>
      </c>
      <c r="M10" s="49" t="s">
        <v>27</v>
      </c>
      <c r="N10" s="8">
        <f t="shared" si="0"/>
        <v>215412.16455000002</v>
      </c>
      <c r="O10" s="50" t="s">
        <v>27</v>
      </c>
      <c r="P10" s="50" t="s">
        <v>27</v>
      </c>
      <c r="Q10" s="54">
        <v>44561</v>
      </c>
      <c r="R10" s="55">
        <v>5323</v>
      </c>
      <c r="S10" s="56" t="s">
        <v>54</v>
      </c>
    </row>
    <row r="11" spans="1:20" ht="31.35" hidden="1" customHeight="1" x14ac:dyDescent="0.3">
      <c r="A11" s="57" t="s">
        <v>58</v>
      </c>
      <c r="B11" s="58" t="s">
        <v>59</v>
      </c>
      <c r="C11" s="45">
        <v>687901</v>
      </c>
      <c r="D11" s="48">
        <v>44571</v>
      </c>
      <c r="E11" s="48" t="s">
        <v>44</v>
      </c>
      <c r="F11" s="52" t="s">
        <v>60</v>
      </c>
      <c r="G11" s="52" t="s">
        <v>61</v>
      </c>
      <c r="H11" s="57" t="s">
        <v>25</v>
      </c>
      <c r="I11" s="34">
        <v>300000</v>
      </c>
      <c r="J11" s="59">
        <f>I11*0.15</f>
        <v>45000</v>
      </c>
      <c r="K11" s="60" t="s">
        <v>26</v>
      </c>
      <c r="L11" s="59">
        <v>0</v>
      </c>
      <c r="M11" s="49" t="s">
        <v>27</v>
      </c>
      <c r="N11" s="59">
        <f t="shared" si="0"/>
        <v>45000</v>
      </c>
      <c r="O11" s="50" t="s">
        <v>27</v>
      </c>
      <c r="P11" s="50" t="s">
        <v>27</v>
      </c>
      <c r="Q11" s="48">
        <v>44600</v>
      </c>
      <c r="R11" s="41">
        <v>5615</v>
      </c>
      <c r="S11" s="41" t="s">
        <v>28</v>
      </c>
    </row>
    <row r="12" spans="1:20" ht="31.35" hidden="1" customHeight="1" x14ac:dyDescent="0.3">
      <c r="A12" s="57" t="s">
        <v>62</v>
      </c>
      <c r="B12" s="58" t="s">
        <v>63</v>
      </c>
      <c r="C12" s="41" t="s">
        <v>64</v>
      </c>
      <c r="D12" s="48">
        <v>44579</v>
      </c>
      <c r="E12" s="48" t="s">
        <v>44</v>
      </c>
      <c r="F12" s="52" t="s">
        <v>65</v>
      </c>
      <c r="G12" s="52" t="s">
        <v>35</v>
      </c>
      <c r="H12" s="57" t="s">
        <v>47</v>
      </c>
      <c r="I12" s="61">
        <v>140000</v>
      </c>
      <c r="J12" s="9">
        <v>7560</v>
      </c>
      <c r="K12" s="62" t="s">
        <v>26</v>
      </c>
      <c r="L12" s="34">
        <v>0</v>
      </c>
      <c r="M12" s="49" t="s">
        <v>27</v>
      </c>
      <c r="N12" s="34">
        <f t="shared" si="0"/>
        <v>7560</v>
      </c>
      <c r="O12" s="50" t="s">
        <v>27</v>
      </c>
      <c r="P12" s="50" t="s">
        <v>27</v>
      </c>
      <c r="Q12" s="48">
        <v>44596</v>
      </c>
      <c r="R12" s="41">
        <v>851519</v>
      </c>
      <c r="S12" s="41" t="s">
        <v>28</v>
      </c>
    </row>
    <row r="13" spans="1:20" ht="31.35" hidden="1" customHeight="1" x14ac:dyDescent="0.3">
      <c r="A13" s="63" t="s">
        <v>62</v>
      </c>
      <c r="B13" s="64" t="s">
        <v>63</v>
      </c>
      <c r="C13" s="65" t="s">
        <v>66</v>
      </c>
      <c r="D13" s="66">
        <v>44579</v>
      </c>
      <c r="E13" s="66" t="s">
        <v>44</v>
      </c>
      <c r="F13" s="67" t="s">
        <v>57</v>
      </c>
      <c r="G13" s="67" t="s">
        <v>67</v>
      </c>
      <c r="H13" s="68" t="s">
        <v>47</v>
      </c>
      <c r="I13" s="69">
        <v>271134.46000000002</v>
      </c>
      <c r="J13" s="34">
        <v>36603.152999999998</v>
      </c>
      <c r="K13" s="70" t="s">
        <v>68</v>
      </c>
      <c r="L13" s="71">
        <v>0</v>
      </c>
      <c r="M13" s="72" t="s">
        <v>27</v>
      </c>
      <c r="N13" s="71">
        <f t="shared" si="0"/>
        <v>36603.152999999998</v>
      </c>
      <c r="O13" s="73" t="s">
        <v>27</v>
      </c>
      <c r="P13" s="73" t="s">
        <v>27</v>
      </c>
      <c r="Q13" s="48">
        <v>44596</v>
      </c>
      <c r="R13" s="41">
        <v>851519</v>
      </c>
      <c r="S13" s="41" t="s">
        <v>69</v>
      </c>
    </row>
    <row r="14" spans="1:20" ht="31.35" hidden="1" customHeight="1" x14ac:dyDescent="0.3">
      <c r="A14" s="74" t="s">
        <v>51</v>
      </c>
      <c r="B14" s="70" t="s">
        <v>70</v>
      </c>
      <c r="C14" s="41">
        <v>7005211</v>
      </c>
      <c r="D14" s="48">
        <v>44579</v>
      </c>
      <c r="E14" s="48" t="s">
        <v>44</v>
      </c>
      <c r="F14" s="6" t="s">
        <v>71</v>
      </c>
      <c r="G14" s="6" t="s">
        <v>46</v>
      </c>
      <c r="H14" s="46" t="s">
        <v>40</v>
      </c>
      <c r="I14" s="34">
        <v>298947</v>
      </c>
      <c r="J14" s="34"/>
      <c r="K14" s="75" t="s">
        <v>72</v>
      </c>
      <c r="L14" s="76">
        <v>0</v>
      </c>
      <c r="M14" s="77" t="s">
        <v>27</v>
      </c>
      <c r="N14" s="76"/>
      <c r="O14" s="78" t="s">
        <v>27</v>
      </c>
      <c r="P14" s="78" t="s">
        <v>27</v>
      </c>
      <c r="Q14" s="48">
        <v>44607</v>
      </c>
      <c r="R14" s="41">
        <v>87685</v>
      </c>
      <c r="S14" s="41" t="s">
        <v>73</v>
      </c>
      <c r="T14" s="14" t="s">
        <v>74</v>
      </c>
    </row>
    <row r="15" spans="1:20" ht="31.35" hidden="1" customHeight="1" x14ac:dyDescent="0.3">
      <c r="A15" s="46" t="s">
        <v>75</v>
      </c>
      <c r="B15" s="62" t="s">
        <v>76</v>
      </c>
      <c r="C15" s="41" t="s">
        <v>77</v>
      </c>
      <c r="D15" s="48">
        <v>44608</v>
      </c>
      <c r="E15" s="48" t="s">
        <v>54</v>
      </c>
      <c r="F15" s="6" t="s">
        <v>57</v>
      </c>
      <c r="G15" s="6" t="s">
        <v>78</v>
      </c>
      <c r="H15" s="46" t="s">
        <v>47</v>
      </c>
      <c r="I15" s="34">
        <v>702758.47</v>
      </c>
      <c r="J15" s="34">
        <v>94872.392999999996</v>
      </c>
      <c r="K15" s="62" t="s">
        <v>79</v>
      </c>
      <c r="L15" s="34">
        <f>J15*0.5</f>
        <v>47436.196499999998</v>
      </c>
      <c r="M15" s="49" t="s">
        <v>27</v>
      </c>
      <c r="N15" s="34">
        <f>J15*0.5</f>
        <v>47436.196499999998</v>
      </c>
      <c r="O15" s="50" t="s">
        <v>27</v>
      </c>
      <c r="P15" s="50" t="s">
        <v>27</v>
      </c>
      <c r="Q15" s="48">
        <v>44606</v>
      </c>
      <c r="R15" s="41">
        <v>336321</v>
      </c>
      <c r="S15" s="41" t="s">
        <v>28</v>
      </c>
    </row>
    <row r="16" spans="1:20" ht="31.35" hidden="1" customHeight="1" x14ac:dyDescent="0.3">
      <c r="A16" s="46" t="s">
        <v>75</v>
      </c>
      <c r="B16" s="62" t="s">
        <v>76</v>
      </c>
      <c r="C16" s="41" t="s">
        <v>80</v>
      </c>
      <c r="D16" s="48">
        <v>44608</v>
      </c>
      <c r="E16" s="48" t="s">
        <v>54</v>
      </c>
      <c r="F16" s="6" t="s">
        <v>65</v>
      </c>
      <c r="G16" s="6" t="s">
        <v>35</v>
      </c>
      <c r="H16" s="46" t="s">
        <v>47</v>
      </c>
      <c r="I16" s="34">
        <v>356500</v>
      </c>
      <c r="J16" s="34">
        <v>19251</v>
      </c>
      <c r="K16" s="62" t="s">
        <v>26</v>
      </c>
      <c r="L16" s="34">
        <v>0</v>
      </c>
      <c r="M16" s="49" t="s">
        <v>27</v>
      </c>
      <c r="N16" s="34">
        <f>J16</f>
        <v>19251</v>
      </c>
      <c r="O16" s="50" t="s">
        <v>27</v>
      </c>
      <c r="P16" s="50" t="s">
        <v>27</v>
      </c>
      <c r="Q16" s="48">
        <v>44606</v>
      </c>
      <c r="R16" s="41">
        <v>336322</v>
      </c>
      <c r="S16" s="41" t="s">
        <v>28</v>
      </c>
    </row>
    <row r="17" spans="1:19" ht="31.35" hidden="1" customHeight="1" x14ac:dyDescent="0.3">
      <c r="A17" s="46" t="s">
        <v>81</v>
      </c>
      <c r="B17" s="62" t="s">
        <v>82</v>
      </c>
      <c r="C17" s="41">
        <v>645301</v>
      </c>
      <c r="D17" s="48">
        <v>44614</v>
      </c>
      <c r="E17" s="48" t="s">
        <v>54</v>
      </c>
      <c r="F17" s="6" t="s">
        <v>83</v>
      </c>
      <c r="G17" s="6" t="s">
        <v>24</v>
      </c>
      <c r="H17" s="46" t="s">
        <v>25</v>
      </c>
      <c r="I17" s="34">
        <v>80360.91</v>
      </c>
      <c r="J17" s="34">
        <f>I17*0.15</f>
        <v>12054.136500000001</v>
      </c>
      <c r="K17" s="62" t="s">
        <v>26</v>
      </c>
      <c r="L17" s="34">
        <v>0</v>
      </c>
      <c r="M17" s="34"/>
      <c r="N17" s="34">
        <f>J17</f>
        <v>12054.136500000001</v>
      </c>
      <c r="O17" s="50" t="s">
        <v>27</v>
      </c>
      <c r="P17" s="50" t="s">
        <v>27</v>
      </c>
      <c r="Q17" s="48">
        <v>44592</v>
      </c>
      <c r="R17" s="41">
        <v>5566</v>
      </c>
      <c r="S17" s="41" t="s">
        <v>84</v>
      </c>
    </row>
    <row r="18" spans="1:19" ht="31.35" hidden="1" customHeight="1" x14ac:dyDescent="0.3">
      <c r="A18" s="46" t="s">
        <v>85</v>
      </c>
      <c r="B18" s="62" t="s">
        <v>86</v>
      </c>
      <c r="C18" s="62"/>
      <c r="D18" s="62"/>
      <c r="E18" s="29" t="s">
        <v>50</v>
      </c>
      <c r="F18" s="41" t="s">
        <v>71</v>
      </c>
      <c r="G18" s="6" t="s">
        <v>35</v>
      </c>
      <c r="H18" s="46" t="s">
        <v>40</v>
      </c>
      <c r="I18" s="34">
        <v>10000</v>
      </c>
      <c r="J18" s="34">
        <v>14357.36</v>
      </c>
      <c r="K18" s="62" t="s">
        <v>26</v>
      </c>
      <c r="L18" s="34">
        <v>0</v>
      </c>
      <c r="M18" s="49" t="s">
        <v>27</v>
      </c>
      <c r="N18" s="34">
        <f>J18</f>
        <v>14357.36</v>
      </c>
      <c r="O18" s="50" t="s">
        <v>27</v>
      </c>
      <c r="P18" s="50" t="s">
        <v>27</v>
      </c>
      <c r="Q18" s="48"/>
      <c r="R18" s="41"/>
      <c r="S18" s="41" t="s">
        <v>28</v>
      </c>
    </row>
    <row r="19" spans="1:19" ht="31.35" hidden="1" customHeight="1" x14ac:dyDescent="0.3">
      <c r="A19" s="46" t="s">
        <v>31</v>
      </c>
      <c r="B19" s="62" t="s">
        <v>32</v>
      </c>
      <c r="C19" s="62"/>
      <c r="D19" s="62"/>
      <c r="E19" s="29" t="s">
        <v>50</v>
      </c>
      <c r="F19" s="41" t="s">
        <v>71</v>
      </c>
      <c r="G19" s="6" t="s">
        <v>35</v>
      </c>
      <c r="H19" s="46" t="s">
        <v>40</v>
      </c>
      <c r="I19" s="34"/>
      <c r="J19" s="34">
        <v>7992.06</v>
      </c>
      <c r="K19" s="62" t="s">
        <v>26</v>
      </c>
      <c r="L19" s="34">
        <v>0</v>
      </c>
      <c r="M19" s="49" t="s">
        <v>27</v>
      </c>
      <c r="N19" s="34">
        <f>J19</f>
        <v>7992.06</v>
      </c>
      <c r="O19" s="50" t="s">
        <v>27</v>
      </c>
      <c r="P19" s="50" t="s">
        <v>27</v>
      </c>
      <c r="Q19" s="48"/>
      <c r="R19" s="41"/>
      <c r="S19" s="41" t="s">
        <v>28</v>
      </c>
    </row>
    <row r="20" spans="1:19" ht="31.35" hidden="1" customHeight="1" x14ac:dyDescent="0.3">
      <c r="A20" s="46" t="s">
        <v>87</v>
      </c>
      <c r="B20" s="62" t="s">
        <v>88</v>
      </c>
      <c r="C20" s="41" t="s">
        <v>89</v>
      </c>
      <c r="D20" s="48">
        <v>44623</v>
      </c>
      <c r="E20" s="48" t="s">
        <v>28</v>
      </c>
      <c r="F20" s="6" t="s">
        <v>57</v>
      </c>
      <c r="G20" s="6" t="s">
        <v>67</v>
      </c>
      <c r="H20" s="46" t="s">
        <v>47</v>
      </c>
      <c r="I20" s="34">
        <v>2179548.91</v>
      </c>
      <c r="J20" s="34">
        <f>I20*0.15</f>
        <v>326932.33650000003</v>
      </c>
      <c r="K20" s="62" t="s">
        <v>68</v>
      </c>
      <c r="L20" s="34">
        <f>J20*0.4</f>
        <v>130772.93460000002</v>
      </c>
      <c r="M20" s="49" t="s">
        <v>27</v>
      </c>
      <c r="N20" s="34">
        <f>J20*0.6</f>
        <v>196159.40190000003</v>
      </c>
      <c r="O20" s="50" t="s">
        <v>27</v>
      </c>
      <c r="P20" s="50" t="s">
        <v>27</v>
      </c>
      <c r="Q20" s="48">
        <v>44643</v>
      </c>
      <c r="R20" s="41">
        <v>871064</v>
      </c>
      <c r="S20" s="41" t="s">
        <v>28</v>
      </c>
    </row>
    <row r="21" spans="1:19" ht="31.35" hidden="1" customHeight="1" x14ac:dyDescent="0.3">
      <c r="A21" s="46" t="s">
        <v>87</v>
      </c>
      <c r="B21" s="62" t="s">
        <v>88</v>
      </c>
      <c r="C21" s="41" t="s">
        <v>90</v>
      </c>
      <c r="D21" s="48">
        <v>44623</v>
      </c>
      <c r="E21" s="48" t="s">
        <v>28</v>
      </c>
      <c r="F21" s="6" t="s">
        <v>65</v>
      </c>
      <c r="G21" s="6" t="s">
        <v>35</v>
      </c>
      <c r="H21" s="46" t="s">
        <v>47</v>
      </c>
      <c r="I21" s="34">
        <v>196500</v>
      </c>
      <c r="J21" s="12">
        <v>19649.98</v>
      </c>
      <c r="K21" s="62" t="s">
        <v>72</v>
      </c>
      <c r="L21" s="34">
        <f>J21*0.2</f>
        <v>3929.9960000000001</v>
      </c>
      <c r="M21" s="49" t="s">
        <v>27</v>
      </c>
      <c r="N21" s="34">
        <f>J21*0.8</f>
        <v>15719.984</v>
      </c>
      <c r="O21" s="50" t="s">
        <v>27</v>
      </c>
      <c r="P21" s="50" t="s">
        <v>27</v>
      </c>
      <c r="Q21" s="48">
        <v>44643</v>
      </c>
      <c r="R21" s="41">
        <v>871064</v>
      </c>
      <c r="S21" s="41" t="s">
        <v>28</v>
      </c>
    </row>
    <row r="22" spans="1:19" ht="31.35" hidden="1" customHeight="1" x14ac:dyDescent="0.3">
      <c r="A22" s="46" t="s">
        <v>91</v>
      </c>
      <c r="B22" s="62" t="s">
        <v>92</v>
      </c>
      <c r="C22" s="41">
        <v>719401</v>
      </c>
      <c r="D22" s="48">
        <v>44629</v>
      </c>
      <c r="E22" s="48" t="s">
        <v>28</v>
      </c>
      <c r="F22" s="6" t="s">
        <v>71</v>
      </c>
      <c r="G22" s="6" t="s">
        <v>24</v>
      </c>
      <c r="H22" s="46" t="s">
        <v>25</v>
      </c>
      <c r="I22" s="34">
        <v>298930.17</v>
      </c>
      <c r="J22" s="34">
        <f>I22*0.15</f>
        <v>44839.525499999996</v>
      </c>
      <c r="K22" s="62" t="s">
        <v>26</v>
      </c>
      <c r="L22" s="34">
        <v>0</v>
      </c>
      <c r="M22" s="34"/>
      <c r="N22" s="34">
        <f>J22</f>
        <v>44839.525499999996</v>
      </c>
      <c r="O22" s="50" t="s">
        <v>27</v>
      </c>
      <c r="P22" s="50" t="s">
        <v>27</v>
      </c>
      <c r="Q22" s="48">
        <v>44676</v>
      </c>
      <c r="R22" s="41">
        <v>6300</v>
      </c>
      <c r="S22" s="41" t="s">
        <v>84</v>
      </c>
    </row>
    <row r="23" spans="1:19" ht="31.35" hidden="1" customHeight="1" x14ac:dyDescent="0.3">
      <c r="A23" s="46" t="s">
        <v>93</v>
      </c>
      <c r="B23" s="62" t="s">
        <v>94</v>
      </c>
      <c r="C23" s="41" t="s">
        <v>95</v>
      </c>
      <c r="D23" s="48">
        <v>44635</v>
      </c>
      <c r="E23" s="48" t="s">
        <v>28</v>
      </c>
      <c r="F23" s="6" t="s">
        <v>57</v>
      </c>
      <c r="G23" s="6" t="s">
        <v>67</v>
      </c>
      <c r="H23" s="46" t="s">
        <v>47</v>
      </c>
      <c r="I23" s="34">
        <v>541203.68999999994</v>
      </c>
      <c r="J23" s="34">
        <f>I23*0.15</f>
        <v>81180.553499999995</v>
      </c>
      <c r="K23" s="62" t="s">
        <v>68</v>
      </c>
      <c r="L23" s="34">
        <f>J23*0.4</f>
        <v>32472.221399999999</v>
      </c>
      <c r="M23" s="49" t="s">
        <v>27</v>
      </c>
      <c r="N23" s="34">
        <f>J23*0.6</f>
        <v>48708.332099999992</v>
      </c>
      <c r="O23" s="50" t="s">
        <v>27</v>
      </c>
      <c r="P23" s="50" t="s">
        <v>27</v>
      </c>
      <c r="Q23" s="48">
        <v>44691</v>
      </c>
      <c r="R23" s="41">
        <v>892523</v>
      </c>
      <c r="S23" s="41" t="s">
        <v>84</v>
      </c>
    </row>
    <row r="24" spans="1:19" ht="31.35" hidden="1" customHeight="1" x14ac:dyDescent="0.3">
      <c r="A24" s="46" t="s">
        <v>96</v>
      </c>
      <c r="B24" s="62" t="s">
        <v>97</v>
      </c>
      <c r="C24" s="41" t="s">
        <v>98</v>
      </c>
      <c r="D24" s="48">
        <v>44644</v>
      </c>
      <c r="E24" s="48" t="s">
        <v>28</v>
      </c>
      <c r="F24" s="6" t="s">
        <v>57</v>
      </c>
      <c r="G24" s="6" t="s">
        <v>67</v>
      </c>
      <c r="H24" s="46" t="s">
        <v>47</v>
      </c>
      <c r="I24" s="34">
        <v>846421.44</v>
      </c>
      <c r="J24" s="34">
        <f>I24*0.15</f>
        <v>126963.21599999999</v>
      </c>
      <c r="K24" s="62" t="s">
        <v>68</v>
      </c>
      <c r="L24" s="34">
        <f>J24*0.4</f>
        <v>50785.286399999997</v>
      </c>
      <c r="M24" s="49" t="s">
        <v>27</v>
      </c>
      <c r="N24" s="34">
        <f>J24*0.6</f>
        <v>76177.929599999989</v>
      </c>
      <c r="O24" s="50" t="s">
        <v>27</v>
      </c>
      <c r="P24" s="50" t="s">
        <v>27</v>
      </c>
      <c r="Q24" s="48">
        <v>44657</v>
      </c>
      <c r="R24" s="41">
        <v>881368</v>
      </c>
      <c r="S24" s="41" t="s">
        <v>99</v>
      </c>
    </row>
    <row r="25" spans="1:19" ht="31.35" hidden="1" customHeight="1" x14ac:dyDescent="0.3">
      <c r="A25" s="46" t="s">
        <v>96</v>
      </c>
      <c r="B25" s="62" t="s">
        <v>97</v>
      </c>
      <c r="C25" s="41" t="s">
        <v>100</v>
      </c>
      <c r="D25" s="48">
        <v>44644</v>
      </c>
      <c r="E25" s="48" t="s">
        <v>28</v>
      </c>
      <c r="F25" s="6" t="s">
        <v>65</v>
      </c>
      <c r="G25" s="6" t="s">
        <v>35</v>
      </c>
      <c r="H25" s="46" t="s">
        <v>47</v>
      </c>
      <c r="I25" s="34">
        <v>196500</v>
      </c>
      <c r="J25" s="34">
        <f>I25*0.12</f>
        <v>23580</v>
      </c>
      <c r="K25" s="62" t="s">
        <v>72</v>
      </c>
      <c r="L25" s="34">
        <f>J25*0.2</f>
        <v>4716</v>
      </c>
      <c r="M25" s="49" t="s">
        <v>27</v>
      </c>
      <c r="N25" s="34">
        <f>J25*0.8</f>
        <v>18864</v>
      </c>
      <c r="O25" s="50" t="s">
        <v>27</v>
      </c>
      <c r="P25" s="50" t="s">
        <v>27</v>
      </c>
      <c r="Q25" s="48">
        <v>44657</v>
      </c>
      <c r="R25" s="41">
        <v>881368</v>
      </c>
      <c r="S25" s="41" t="s">
        <v>99</v>
      </c>
    </row>
    <row r="26" spans="1:19" ht="31.35" hidden="1" customHeight="1" x14ac:dyDescent="0.3">
      <c r="A26" s="46" t="s">
        <v>93</v>
      </c>
      <c r="B26" s="62" t="s">
        <v>94</v>
      </c>
      <c r="C26" s="41" t="s">
        <v>101</v>
      </c>
      <c r="D26" s="48">
        <v>44650</v>
      </c>
      <c r="E26" s="48" t="s">
        <v>28</v>
      </c>
      <c r="F26" s="6" t="s">
        <v>102</v>
      </c>
      <c r="G26" s="6" t="s">
        <v>35</v>
      </c>
      <c r="H26" s="46" t="s">
        <v>47</v>
      </c>
      <c r="I26" s="34">
        <v>16500</v>
      </c>
      <c r="J26" s="34">
        <f>I26*0.12</f>
        <v>1980</v>
      </c>
      <c r="K26" s="62" t="s">
        <v>26</v>
      </c>
      <c r="L26" s="34">
        <v>0</v>
      </c>
      <c r="M26" s="34"/>
      <c r="N26" s="34">
        <f>J26</f>
        <v>1980</v>
      </c>
      <c r="O26" s="50" t="s">
        <v>27</v>
      </c>
      <c r="P26" s="50" t="s">
        <v>27</v>
      </c>
      <c r="Q26" s="48">
        <v>44663</v>
      </c>
      <c r="R26" s="41">
        <v>881368</v>
      </c>
      <c r="S26" s="41" t="s">
        <v>99</v>
      </c>
    </row>
    <row r="27" spans="1:19" ht="31.35" hidden="1" customHeight="1" x14ac:dyDescent="0.3">
      <c r="A27" s="79" t="s">
        <v>103</v>
      </c>
      <c r="B27" s="62" t="s">
        <v>104</v>
      </c>
      <c r="C27" s="41">
        <v>737801</v>
      </c>
      <c r="D27" s="48">
        <v>44650</v>
      </c>
      <c r="E27" s="48"/>
      <c r="F27" s="6" t="s">
        <v>105</v>
      </c>
      <c r="G27" s="6" t="s">
        <v>35</v>
      </c>
      <c r="H27" s="46" t="s">
        <v>25</v>
      </c>
      <c r="I27" s="34"/>
      <c r="J27" s="34"/>
      <c r="K27" s="62" t="s">
        <v>26</v>
      </c>
      <c r="L27" s="34">
        <v>0</v>
      </c>
      <c r="M27" s="34"/>
      <c r="N27" s="34">
        <f>J27</f>
        <v>0</v>
      </c>
      <c r="O27" s="80" t="s">
        <v>27</v>
      </c>
      <c r="P27" s="80" t="s">
        <v>27</v>
      </c>
      <c r="Q27" s="48">
        <v>44725</v>
      </c>
      <c r="R27" s="41">
        <v>6747</v>
      </c>
      <c r="S27" s="41" t="s">
        <v>106</v>
      </c>
    </row>
    <row r="28" spans="1:19" ht="31.35" hidden="1" customHeight="1" x14ac:dyDescent="0.3">
      <c r="A28" s="46" t="s">
        <v>107</v>
      </c>
      <c r="B28" s="62" t="s">
        <v>108</v>
      </c>
      <c r="C28" s="41" t="s">
        <v>109</v>
      </c>
      <c r="D28" s="48">
        <v>44656</v>
      </c>
      <c r="E28" s="48" t="s">
        <v>99</v>
      </c>
      <c r="F28" s="6" t="s">
        <v>65</v>
      </c>
      <c r="G28" s="6" t="s">
        <v>35</v>
      </c>
      <c r="H28" s="46" t="s">
        <v>47</v>
      </c>
      <c r="I28" s="34">
        <v>213500</v>
      </c>
      <c r="J28" s="34">
        <f>I28*0.12</f>
        <v>25620</v>
      </c>
      <c r="K28" s="62" t="s">
        <v>72</v>
      </c>
      <c r="L28" s="34">
        <f>J28*0.2</f>
        <v>5124</v>
      </c>
      <c r="M28" s="49" t="s">
        <v>27</v>
      </c>
      <c r="N28" s="34">
        <f>J28*0.8</f>
        <v>20496</v>
      </c>
      <c r="O28" s="50" t="s">
        <v>27</v>
      </c>
      <c r="P28" s="50" t="s">
        <v>27</v>
      </c>
      <c r="Q28" s="48">
        <v>44677</v>
      </c>
      <c r="R28" s="41">
        <v>881368</v>
      </c>
      <c r="S28" s="41" t="s">
        <v>99</v>
      </c>
    </row>
    <row r="29" spans="1:19" ht="31.35" hidden="1" customHeight="1" x14ac:dyDescent="0.3">
      <c r="A29" s="46" t="s">
        <v>110</v>
      </c>
      <c r="B29" s="62" t="s">
        <v>111</v>
      </c>
      <c r="C29" s="41" t="s">
        <v>112</v>
      </c>
      <c r="D29" s="48">
        <v>44657</v>
      </c>
      <c r="E29" s="48" t="s">
        <v>99</v>
      </c>
      <c r="F29" s="6" t="s">
        <v>65</v>
      </c>
      <c r="G29" s="6" t="s">
        <v>1519</v>
      </c>
      <c r="H29" s="46" t="s">
        <v>47</v>
      </c>
      <c r="I29" s="34">
        <v>190000</v>
      </c>
      <c r="J29" s="34">
        <f>I29*0.12</f>
        <v>22800</v>
      </c>
      <c r="K29" s="62" t="s">
        <v>72</v>
      </c>
      <c r="L29" s="34">
        <f>J29*0.2</f>
        <v>4560</v>
      </c>
      <c r="M29" s="49" t="s">
        <v>27</v>
      </c>
      <c r="N29" s="34">
        <f>J29*0.8</f>
        <v>18240</v>
      </c>
      <c r="O29" s="50" t="s">
        <v>27</v>
      </c>
      <c r="P29" s="50" t="s">
        <v>27</v>
      </c>
      <c r="Q29" s="48">
        <v>44687</v>
      </c>
      <c r="R29" s="41">
        <v>892523</v>
      </c>
      <c r="S29" s="41" t="s">
        <v>84</v>
      </c>
    </row>
    <row r="30" spans="1:19" ht="31.35" hidden="1" customHeight="1" x14ac:dyDescent="0.3">
      <c r="A30" s="46" t="s">
        <v>107</v>
      </c>
      <c r="B30" s="62" t="s">
        <v>108</v>
      </c>
      <c r="C30" s="41" t="s">
        <v>113</v>
      </c>
      <c r="D30" s="48">
        <v>44659</v>
      </c>
      <c r="E30" s="48" t="s">
        <v>99</v>
      </c>
      <c r="F30" s="6" t="s">
        <v>57</v>
      </c>
      <c r="G30" s="6" t="s">
        <v>67</v>
      </c>
      <c r="H30" s="46" t="s">
        <v>47</v>
      </c>
      <c r="I30" s="34">
        <v>707350.62</v>
      </c>
      <c r="J30" s="34">
        <f>I30*0.15</f>
        <v>106102.59299999999</v>
      </c>
      <c r="K30" s="62" t="s">
        <v>68</v>
      </c>
      <c r="L30" s="34">
        <f>J30*0.4</f>
        <v>42441.037199999999</v>
      </c>
      <c r="M30" s="49" t="s">
        <v>27</v>
      </c>
      <c r="N30" s="34">
        <f>J30*0.6</f>
        <v>63661.555799999995</v>
      </c>
      <c r="O30" s="50" t="s">
        <v>27</v>
      </c>
      <c r="P30" s="50" t="s">
        <v>27</v>
      </c>
      <c r="Q30" s="48">
        <v>44677</v>
      </c>
      <c r="R30" s="41">
        <v>881368</v>
      </c>
      <c r="S30" s="41" t="s">
        <v>99</v>
      </c>
    </row>
    <row r="31" spans="1:19" ht="31.35" hidden="1" customHeight="1" x14ac:dyDescent="0.3">
      <c r="A31" s="46" t="s">
        <v>114</v>
      </c>
      <c r="B31" s="62" t="s">
        <v>115</v>
      </c>
      <c r="C31" s="41">
        <v>746601</v>
      </c>
      <c r="D31" s="48">
        <v>44663</v>
      </c>
      <c r="E31" s="48" t="s">
        <v>99</v>
      </c>
      <c r="F31" s="6" t="s">
        <v>71</v>
      </c>
      <c r="G31" s="6" t="s">
        <v>24</v>
      </c>
      <c r="H31" s="46" t="s">
        <v>25</v>
      </c>
      <c r="I31" s="34">
        <v>301491.13</v>
      </c>
      <c r="J31" s="34">
        <f>I31*0.15</f>
        <v>45223.669499999996</v>
      </c>
      <c r="K31" s="62" t="s">
        <v>26</v>
      </c>
      <c r="L31" s="34">
        <v>0</v>
      </c>
      <c r="M31" s="34"/>
      <c r="N31" s="34">
        <f>J31</f>
        <v>45223.669499999996</v>
      </c>
      <c r="O31" s="50" t="s">
        <v>27</v>
      </c>
      <c r="P31" s="50" t="s">
        <v>27</v>
      </c>
      <c r="Q31" s="48">
        <v>44705</v>
      </c>
      <c r="R31" s="41">
        <v>6541</v>
      </c>
      <c r="S31" s="41" t="s">
        <v>84</v>
      </c>
    </row>
    <row r="32" spans="1:19" ht="31.35" hidden="1" customHeight="1" x14ac:dyDescent="0.3">
      <c r="A32" s="81" t="s">
        <v>116</v>
      </c>
      <c r="B32" s="210" t="s">
        <v>117</v>
      </c>
      <c r="C32" s="41">
        <v>745901</v>
      </c>
      <c r="D32" s="48">
        <v>44669</v>
      </c>
      <c r="E32" s="48" t="s">
        <v>99</v>
      </c>
      <c r="F32" s="52" t="s">
        <v>57</v>
      </c>
      <c r="G32" s="6" t="s">
        <v>118</v>
      </c>
      <c r="H32" s="81" t="s">
        <v>25</v>
      </c>
      <c r="I32" s="82">
        <v>322109.09999999998</v>
      </c>
      <c r="J32" s="34">
        <f>I32*0.18</f>
        <v>57979.637999999992</v>
      </c>
      <c r="K32" s="62" t="s">
        <v>79</v>
      </c>
      <c r="L32" s="34">
        <f>J32*0.5</f>
        <v>28989.818999999996</v>
      </c>
      <c r="M32" s="49" t="s">
        <v>27</v>
      </c>
      <c r="N32" s="34">
        <f>J32*0.5</f>
        <v>28989.818999999996</v>
      </c>
      <c r="O32" s="50" t="s">
        <v>27</v>
      </c>
      <c r="P32" s="50" t="s">
        <v>27</v>
      </c>
      <c r="Q32" s="48">
        <v>44712</v>
      </c>
      <c r="R32" s="41">
        <v>6664</v>
      </c>
      <c r="S32" s="41" t="s">
        <v>119</v>
      </c>
    </row>
    <row r="33" spans="1:19" ht="31.35" hidden="1" customHeight="1" x14ac:dyDescent="0.3">
      <c r="A33" s="46" t="s">
        <v>87</v>
      </c>
      <c r="B33" s="62" t="s">
        <v>120</v>
      </c>
      <c r="C33" s="41" t="s">
        <v>121</v>
      </c>
      <c r="D33" s="48">
        <v>44671</v>
      </c>
      <c r="E33" s="48" t="s">
        <v>99</v>
      </c>
      <c r="F33" s="6" t="s">
        <v>122</v>
      </c>
      <c r="G33" s="6" t="s">
        <v>24</v>
      </c>
      <c r="H33" s="46" t="s">
        <v>123</v>
      </c>
      <c r="I33" s="34">
        <v>1068.49</v>
      </c>
      <c r="J33" s="34">
        <f>I33*0.09</f>
        <v>96.164099999999991</v>
      </c>
      <c r="K33" s="62" t="s">
        <v>26</v>
      </c>
      <c r="L33" s="34">
        <v>0</v>
      </c>
      <c r="M33" s="34"/>
      <c r="N33" s="34">
        <f>J33</f>
        <v>96.164099999999991</v>
      </c>
      <c r="O33" s="50" t="s">
        <v>27</v>
      </c>
      <c r="P33" s="50" t="s">
        <v>27</v>
      </c>
      <c r="Q33" s="48">
        <v>44687</v>
      </c>
      <c r="R33" s="41">
        <v>892523</v>
      </c>
      <c r="S33" s="41" t="s">
        <v>84</v>
      </c>
    </row>
    <row r="34" spans="1:19" ht="31.35" hidden="1" customHeight="1" x14ac:dyDescent="0.3">
      <c r="A34" s="46" t="s">
        <v>124</v>
      </c>
      <c r="B34" s="62" t="s">
        <v>125</v>
      </c>
      <c r="C34" s="45" t="s">
        <v>126</v>
      </c>
      <c r="D34" s="48">
        <v>44672</v>
      </c>
      <c r="E34" s="48" t="s">
        <v>99</v>
      </c>
      <c r="F34" s="6" t="s">
        <v>57</v>
      </c>
      <c r="G34" s="6" t="s">
        <v>35</v>
      </c>
      <c r="H34" s="46" t="s">
        <v>25</v>
      </c>
      <c r="I34" s="34">
        <v>135270.31</v>
      </c>
      <c r="J34" s="34">
        <f>I34*0.15</f>
        <v>20290.5465</v>
      </c>
      <c r="K34" s="62" t="s">
        <v>72</v>
      </c>
      <c r="L34" s="34">
        <f>J34*0.8</f>
        <v>16232.4372</v>
      </c>
      <c r="M34" s="49" t="s">
        <v>27</v>
      </c>
      <c r="N34" s="34">
        <f>J34*0.2</f>
        <v>4058.1093000000001</v>
      </c>
      <c r="O34" s="50" t="s">
        <v>27</v>
      </c>
      <c r="P34" s="50" t="s">
        <v>27</v>
      </c>
      <c r="Q34" s="48">
        <v>44681</v>
      </c>
      <c r="R34" s="41">
        <v>6369</v>
      </c>
      <c r="S34" s="41" t="s">
        <v>84</v>
      </c>
    </row>
    <row r="35" spans="1:19" ht="31.35" hidden="1" customHeight="1" x14ac:dyDescent="0.3">
      <c r="A35" s="46" t="s">
        <v>107</v>
      </c>
      <c r="B35" s="62" t="s">
        <v>108</v>
      </c>
      <c r="C35" s="41" t="s">
        <v>127</v>
      </c>
      <c r="D35" s="48">
        <v>44673</v>
      </c>
      <c r="E35" s="48" t="s">
        <v>99</v>
      </c>
      <c r="F35" s="6" t="s">
        <v>122</v>
      </c>
      <c r="G35" s="6" t="s">
        <v>24</v>
      </c>
      <c r="H35" s="46" t="s">
        <v>47</v>
      </c>
      <c r="I35" s="34">
        <v>13000</v>
      </c>
      <c r="J35" s="34">
        <f>I35*0.09</f>
        <v>1170</v>
      </c>
      <c r="K35" s="62" t="s">
        <v>26</v>
      </c>
      <c r="L35" s="34">
        <v>0</v>
      </c>
      <c r="M35" s="34"/>
      <c r="N35" s="34">
        <f>J35</f>
        <v>1170</v>
      </c>
      <c r="O35" s="50" t="s">
        <v>27</v>
      </c>
      <c r="P35" s="50" t="s">
        <v>27</v>
      </c>
      <c r="Q35" s="48">
        <v>44691</v>
      </c>
      <c r="R35" s="41">
        <v>892523</v>
      </c>
      <c r="S35" s="41" t="s">
        <v>84</v>
      </c>
    </row>
    <row r="36" spans="1:19" ht="31.35" hidden="1" customHeight="1" x14ac:dyDescent="0.3">
      <c r="A36" s="46" t="s">
        <v>128</v>
      </c>
      <c r="B36" s="62" t="s">
        <v>129</v>
      </c>
      <c r="C36" s="45" t="s">
        <v>130</v>
      </c>
      <c r="D36" s="48">
        <v>44676</v>
      </c>
      <c r="E36" s="48" t="s">
        <v>99</v>
      </c>
      <c r="F36" s="6" t="s">
        <v>57</v>
      </c>
      <c r="G36" s="6" t="s">
        <v>67</v>
      </c>
      <c r="H36" s="46" t="s">
        <v>25</v>
      </c>
      <c r="I36" s="34">
        <v>56000</v>
      </c>
      <c r="J36" s="83">
        <f>I36*0.15</f>
        <v>8400</v>
      </c>
      <c r="K36" s="84" t="s">
        <v>26</v>
      </c>
      <c r="L36" s="83">
        <v>0</v>
      </c>
      <c r="M36" s="83"/>
      <c r="N36" s="34">
        <f>J36</f>
        <v>8400</v>
      </c>
      <c r="O36" s="50" t="s">
        <v>27</v>
      </c>
      <c r="P36" s="50" t="s">
        <v>27</v>
      </c>
      <c r="Q36" s="48">
        <v>44691</v>
      </c>
      <c r="R36" s="41">
        <v>6432</v>
      </c>
      <c r="S36" s="41" t="s">
        <v>84</v>
      </c>
    </row>
    <row r="37" spans="1:19" ht="31.35" hidden="1" customHeight="1" x14ac:dyDescent="0.3">
      <c r="A37" s="46" t="s">
        <v>110</v>
      </c>
      <c r="B37" s="62" t="s">
        <v>111</v>
      </c>
      <c r="C37" s="41" t="s">
        <v>131</v>
      </c>
      <c r="D37" s="48">
        <v>44677</v>
      </c>
      <c r="E37" s="48" t="s">
        <v>99</v>
      </c>
      <c r="F37" s="6" t="s">
        <v>57</v>
      </c>
      <c r="G37" s="52" t="s">
        <v>61</v>
      </c>
      <c r="H37" s="46" t="s">
        <v>47</v>
      </c>
      <c r="I37" s="34">
        <v>504000</v>
      </c>
      <c r="J37" s="34">
        <f>I37*0.15</f>
        <v>75600</v>
      </c>
      <c r="K37" s="62" t="s">
        <v>68</v>
      </c>
      <c r="L37" s="34">
        <f>J37*0.4</f>
        <v>30240</v>
      </c>
      <c r="M37" s="49" t="s">
        <v>27</v>
      </c>
      <c r="N37" s="34">
        <f>J37*0.6</f>
        <v>45360</v>
      </c>
      <c r="O37" s="50" t="s">
        <v>27</v>
      </c>
      <c r="P37" s="50" t="s">
        <v>27</v>
      </c>
      <c r="Q37" s="48">
        <v>44698</v>
      </c>
      <c r="R37" s="41">
        <v>892523</v>
      </c>
      <c r="S37" s="41" t="s">
        <v>84</v>
      </c>
    </row>
    <row r="38" spans="1:19" ht="31.35" hidden="1" customHeight="1" x14ac:dyDescent="0.3">
      <c r="A38" s="46" t="s">
        <v>132</v>
      </c>
      <c r="B38" s="211" t="s">
        <v>133</v>
      </c>
      <c r="C38" s="41">
        <v>749501</v>
      </c>
      <c r="D38" s="48">
        <v>44677</v>
      </c>
      <c r="E38" s="48" t="s">
        <v>99</v>
      </c>
      <c r="F38" s="6" t="s">
        <v>57</v>
      </c>
      <c r="G38" s="6" t="s">
        <v>118</v>
      </c>
      <c r="H38" s="46" t="s">
        <v>25</v>
      </c>
      <c r="I38" s="34">
        <v>1091520.05</v>
      </c>
      <c r="J38" s="34">
        <f>I38*0.18</f>
        <v>196473.609</v>
      </c>
      <c r="K38" s="62" t="s">
        <v>79</v>
      </c>
      <c r="L38" s="34">
        <f>J38*0.5</f>
        <v>98236.804499999998</v>
      </c>
      <c r="M38" s="49" t="s">
        <v>27</v>
      </c>
      <c r="N38" s="34">
        <f>J38*0.5</f>
        <v>98236.804499999998</v>
      </c>
      <c r="O38" s="50" t="s">
        <v>27</v>
      </c>
      <c r="P38" s="50" t="s">
        <v>27</v>
      </c>
      <c r="Q38" s="48">
        <v>44705</v>
      </c>
      <c r="R38" s="41">
        <v>6541</v>
      </c>
      <c r="S38" s="41" t="s">
        <v>84</v>
      </c>
    </row>
    <row r="39" spans="1:19" ht="31.35" hidden="1" customHeight="1" x14ac:dyDescent="0.3">
      <c r="A39" s="46" t="s">
        <v>75</v>
      </c>
      <c r="B39" s="62" t="s">
        <v>134</v>
      </c>
      <c r="C39" s="41" t="s">
        <v>135</v>
      </c>
      <c r="D39" s="48">
        <v>44679</v>
      </c>
      <c r="E39" s="48" t="s">
        <v>99</v>
      </c>
      <c r="F39" s="6" t="s">
        <v>57</v>
      </c>
      <c r="G39" s="6" t="s">
        <v>78</v>
      </c>
      <c r="H39" s="46" t="s">
        <v>47</v>
      </c>
      <c r="I39" s="34">
        <v>840498.85</v>
      </c>
      <c r="J39" s="34">
        <f>I39*0.15</f>
        <v>126074.82749999998</v>
      </c>
      <c r="K39" s="62" t="s">
        <v>79</v>
      </c>
      <c r="L39" s="34">
        <f>J39*0.5</f>
        <v>63037.413749999992</v>
      </c>
      <c r="M39" s="49" t="s">
        <v>27</v>
      </c>
      <c r="N39" s="34">
        <f>J39*0.5</f>
        <v>63037.413749999992</v>
      </c>
      <c r="O39" s="50" t="s">
        <v>27</v>
      </c>
      <c r="P39" s="50" t="s">
        <v>27</v>
      </c>
      <c r="Q39" s="48">
        <v>44698</v>
      </c>
      <c r="R39" s="41">
        <v>892523</v>
      </c>
      <c r="S39" s="41" t="s">
        <v>84</v>
      </c>
    </row>
    <row r="40" spans="1:19" ht="31.35" hidden="1" customHeight="1" x14ac:dyDescent="0.3">
      <c r="A40" s="46" t="s">
        <v>75</v>
      </c>
      <c r="B40" s="62" t="s">
        <v>134</v>
      </c>
      <c r="C40" s="41" t="s">
        <v>136</v>
      </c>
      <c r="D40" s="48">
        <v>44679</v>
      </c>
      <c r="E40" s="48" t="s">
        <v>99</v>
      </c>
      <c r="F40" s="6" t="s">
        <v>65</v>
      </c>
      <c r="G40" s="6" t="s">
        <v>35</v>
      </c>
      <c r="H40" s="46" t="s">
        <v>47</v>
      </c>
      <c r="I40" s="34">
        <v>396500</v>
      </c>
      <c r="J40" s="34">
        <f>I40*0.12</f>
        <v>47580</v>
      </c>
      <c r="K40" s="62" t="s">
        <v>72</v>
      </c>
      <c r="L40" s="34">
        <f>J40*0.2</f>
        <v>9516</v>
      </c>
      <c r="M40" s="49" t="s">
        <v>27</v>
      </c>
      <c r="N40" s="34">
        <f>J40*0.8</f>
        <v>38064</v>
      </c>
      <c r="O40" s="50" t="s">
        <v>27</v>
      </c>
      <c r="P40" s="50" t="s">
        <v>27</v>
      </c>
      <c r="Q40" s="48">
        <v>44698</v>
      </c>
      <c r="R40" s="41">
        <v>892523</v>
      </c>
      <c r="S40" s="41" t="s">
        <v>84</v>
      </c>
    </row>
    <row r="41" spans="1:19" ht="31.35" hidden="1" customHeight="1" x14ac:dyDescent="0.3">
      <c r="A41" s="46" t="s">
        <v>137</v>
      </c>
      <c r="B41" s="211" t="s">
        <v>138</v>
      </c>
      <c r="C41" s="41">
        <v>753501</v>
      </c>
      <c r="D41" s="48">
        <v>44681</v>
      </c>
      <c r="E41" s="48" t="s">
        <v>99</v>
      </c>
      <c r="F41" s="6" t="s">
        <v>57</v>
      </c>
      <c r="G41" s="6" t="s">
        <v>118</v>
      </c>
      <c r="H41" s="46" t="s">
        <v>25</v>
      </c>
      <c r="I41" s="34">
        <v>383977</v>
      </c>
      <c r="J41" s="34">
        <f>I41*0.15</f>
        <v>57596.549999999996</v>
      </c>
      <c r="K41" s="62" t="s">
        <v>79</v>
      </c>
      <c r="L41" s="34">
        <f>J41*0.5</f>
        <v>28798.274999999998</v>
      </c>
      <c r="M41" s="49" t="s">
        <v>27</v>
      </c>
      <c r="N41" s="34">
        <f>J41*0.5</f>
        <v>28798.274999999998</v>
      </c>
      <c r="O41" s="50" t="s">
        <v>27</v>
      </c>
      <c r="P41" s="50" t="s">
        <v>27</v>
      </c>
      <c r="Q41" s="48">
        <v>44712</v>
      </c>
      <c r="R41" s="41">
        <v>6664</v>
      </c>
      <c r="S41" s="41" t="s">
        <v>119</v>
      </c>
    </row>
    <row r="42" spans="1:19" ht="31.35" hidden="1" customHeight="1" x14ac:dyDescent="0.3">
      <c r="A42" s="46" t="s">
        <v>139</v>
      </c>
      <c r="B42" s="62" t="s">
        <v>133</v>
      </c>
      <c r="C42" s="41">
        <v>757001</v>
      </c>
      <c r="D42" s="48">
        <v>44683</v>
      </c>
      <c r="E42" s="48" t="s">
        <v>84</v>
      </c>
      <c r="F42" s="6" t="s">
        <v>140</v>
      </c>
      <c r="G42" s="6" t="s">
        <v>24</v>
      </c>
      <c r="H42" s="46" t="s">
        <v>25</v>
      </c>
      <c r="I42" s="34">
        <v>59660</v>
      </c>
      <c r="J42" s="34">
        <f>I42*0.15</f>
        <v>8949</v>
      </c>
      <c r="K42" s="62" t="s">
        <v>26</v>
      </c>
      <c r="L42" s="34">
        <v>0</v>
      </c>
      <c r="M42" s="34"/>
      <c r="N42" s="34">
        <f>J42</f>
        <v>8949</v>
      </c>
      <c r="O42" s="50" t="s">
        <v>27</v>
      </c>
      <c r="P42" s="50" t="s">
        <v>27</v>
      </c>
      <c r="Q42" s="48">
        <v>44705</v>
      </c>
      <c r="R42" s="41">
        <v>6541</v>
      </c>
      <c r="S42" s="41" t="s">
        <v>84</v>
      </c>
    </row>
    <row r="43" spans="1:19" ht="31.35" hidden="1" customHeight="1" x14ac:dyDescent="0.3">
      <c r="A43" s="46" t="s">
        <v>141</v>
      </c>
      <c r="B43" s="62" t="s">
        <v>53</v>
      </c>
      <c r="C43" s="41">
        <v>62392</v>
      </c>
      <c r="D43" s="48">
        <v>44693</v>
      </c>
      <c r="E43" s="48" t="s">
        <v>99</v>
      </c>
      <c r="F43" s="6" t="s">
        <v>53</v>
      </c>
      <c r="G43" s="6" t="s">
        <v>24</v>
      </c>
      <c r="H43" s="6" t="s">
        <v>142</v>
      </c>
      <c r="I43" s="9">
        <v>154100</v>
      </c>
      <c r="J43" s="9">
        <f>I43*0.2</f>
        <v>30820</v>
      </c>
      <c r="K43" s="5" t="s">
        <v>26</v>
      </c>
      <c r="L43" s="9">
        <v>0</v>
      </c>
      <c r="M43" s="34"/>
      <c r="N43" s="34">
        <f>J43</f>
        <v>30820</v>
      </c>
      <c r="O43" s="50" t="s">
        <v>27</v>
      </c>
      <c r="P43" s="50" t="s">
        <v>27</v>
      </c>
      <c r="Q43" s="48">
        <v>44773</v>
      </c>
      <c r="R43" s="41">
        <v>4557609</v>
      </c>
      <c r="S43" s="41" t="s">
        <v>73</v>
      </c>
    </row>
    <row r="44" spans="1:19" ht="31.35" hidden="1" customHeight="1" x14ac:dyDescent="0.3">
      <c r="A44" s="46" t="s">
        <v>87</v>
      </c>
      <c r="B44" s="62" t="s">
        <v>120</v>
      </c>
      <c r="C44" s="41" t="s">
        <v>143</v>
      </c>
      <c r="D44" s="48">
        <v>44693</v>
      </c>
      <c r="E44" s="48" t="s">
        <v>84</v>
      </c>
      <c r="F44" s="6" t="s">
        <v>122</v>
      </c>
      <c r="G44" s="6" t="s">
        <v>24</v>
      </c>
      <c r="H44" s="46" t="s">
        <v>47</v>
      </c>
      <c r="I44" s="34">
        <v>2030.14</v>
      </c>
      <c r="J44" s="34">
        <f>I44*0.09</f>
        <v>182.71260000000001</v>
      </c>
      <c r="K44" s="62" t="s">
        <v>26</v>
      </c>
      <c r="L44" s="34">
        <v>0</v>
      </c>
      <c r="M44" s="34"/>
      <c r="N44" s="34">
        <f>J44</f>
        <v>182.71260000000001</v>
      </c>
      <c r="O44" s="50" t="s">
        <v>27</v>
      </c>
      <c r="P44" s="50" t="s">
        <v>27</v>
      </c>
      <c r="Q44" s="48">
        <v>44726</v>
      </c>
      <c r="R44" s="41">
        <v>903029</v>
      </c>
      <c r="S44" s="41" t="s">
        <v>119</v>
      </c>
    </row>
    <row r="45" spans="1:19" ht="31.35" hidden="1" customHeight="1" x14ac:dyDescent="0.3">
      <c r="A45" s="46" t="s">
        <v>116</v>
      </c>
      <c r="B45" s="211" t="s">
        <v>117</v>
      </c>
      <c r="C45" s="41">
        <v>771101</v>
      </c>
      <c r="D45" s="48">
        <v>44693</v>
      </c>
      <c r="E45" s="48" t="s">
        <v>84</v>
      </c>
      <c r="F45" s="6" t="s">
        <v>71</v>
      </c>
      <c r="G45" s="6" t="s">
        <v>118</v>
      </c>
      <c r="H45" s="46" t="s">
        <v>25</v>
      </c>
      <c r="I45" s="34">
        <v>302551.15000000002</v>
      </c>
      <c r="J45" s="34">
        <f>I45*0.18</f>
        <v>54459.207000000002</v>
      </c>
      <c r="K45" s="62" t="s">
        <v>79</v>
      </c>
      <c r="L45" s="34">
        <f>J45*0.5</f>
        <v>27229.603500000001</v>
      </c>
      <c r="M45" s="49" t="s">
        <v>27</v>
      </c>
      <c r="N45" s="34">
        <f>J45*0.5</f>
        <v>27229.603500000001</v>
      </c>
      <c r="O45" s="50" t="s">
        <v>27</v>
      </c>
      <c r="P45" s="50" t="s">
        <v>27</v>
      </c>
      <c r="Q45" s="48">
        <v>44742</v>
      </c>
      <c r="R45" s="41">
        <v>6977</v>
      </c>
      <c r="S45" s="41" t="s">
        <v>144</v>
      </c>
    </row>
    <row r="46" spans="1:19" ht="31.35" hidden="1" customHeight="1" x14ac:dyDescent="0.3">
      <c r="A46" s="6" t="s">
        <v>141</v>
      </c>
      <c r="B46" s="5" t="s">
        <v>145</v>
      </c>
      <c r="C46" s="41">
        <v>9234</v>
      </c>
      <c r="D46" s="85">
        <v>44693</v>
      </c>
      <c r="E46" s="86" t="s">
        <v>84</v>
      </c>
      <c r="F46" s="6" t="s">
        <v>146</v>
      </c>
      <c r="G46" s="6" t="s">
        <v>24</v>
      </c>
      <c r="H46" s="6" t="s">
        <v>142</v>
      </c>
      <c r="I46" s="9">
        <v>490500</v>
      </c>
      <c r="J46" s="9">
        <v>95915.8</v>
      </c>
      <c r="K46" s="5" t="s">
        <v>26</v>
      </c>
      <c r="L46" s="9">
        <v>0</v>
      </c>
      <c r="M46" s="34"/>
      <c r="N46" s="34">
        <f>J46</f>
        <v>95915.8</v>
      </c>
      <c r="O46" s="50" t="s">
        <v>27</v>
      </c>
      <c r="P46" s="50" t="s">
        <v>27</v>
      </c>
      <c r="Q46" s="6"/>
      <c r="R46" s="87"/>
      <c r="S46" s="41" t="s">
        <v>73</v>
      </c>
    </row>
    <row r="47" spans="1:19" ht="31.35" hidden="1" customHeight="1" x14ac:dyDescent="0.3">
      <c r="A47" s="46" t="s">
        <v>147</v>
      </c>
      <c r="B47" s="62" t="s">
        <v>148</v>
      </c>
      <c r="C47" s="41" t="s">
        <v>149</v>
      </c>
      <c r="D47" s="48">
        <v>44698</v>
      </c>
      <c r="E47" s="48" t="s">
        <v>84</v>
      </c>
      <c r="F47" s="6" t="s">
        <v>57</v>
      </c>
      <c r="G47" s="52" t="s">
        <v>61</v>
      </c>
      <c r="H47" s="46" t="s">
        <v>47</v>
      </c>
      <c r="I47" s="34">
        <v>553732.85</v>
      </c>
      <c r="J47" s="34">
        <f>I47*0.15</f>
        <v>83059.927499999991</v>
      </c>
      <c r="K47" s="62" t="s">
        <v>68</v>
      </c>
      <c r="L47" s="34">
        <f>J47*0.4</f>
        <v>33223.970999999998</v>
      </c>
      <c r="M47" s="50" t="s">
        <v>27</v>
      </c>
      <c r="N47" s="34">
        <f>J47*0.6</f>
        <v>49835.956499999993</v>
      </c>
      <c r="O47" s="50" t="s">
        <v>27</v>
      </c>
      <c r="P47" s="50" t="s">
        <v>27</v>
      </c>
      <c r="Q47" s="48">
        <v>44740</v>
      </c>
      <c r="R47" s="41">
        <v>903029</v>
      </c>
      <c r="S47" s="41" t="s">
        <v>119</v>
      </c>
    </row>
    <row r="48" spans="1:19" ht="31.35" hidden="1" customHeight="1" x14ac:dyDescent="0.3">
      <c r="A48" s="74" t="s">
        <v>147</v>
      </c>
      <c r="B48" s="70" t="s">
        <v>148</v>
      </c>
      <c r="C48" s="65" t="s">
        <v>150</v>
      </c>
      <c r="D48" s="66">
        <v>44698</v>
      </c>
      <c r="E48" s="66" t="s">
        <v>84</v>
      </c>
      <c r="F48" s="21" t="s">
        <v>65</v>
      </c>
      <c r="G48" s="21" t="s">
        <v>1519</v>
      </c>
      <c r="H48" s="88" t="s">
        <v>123</v>
      </c>
      <c r="I48" s="71">
        <v>281000</v>
      </c>
      <c r="J48" s="71">
        <f>I48*0.12</f>
        <v>33720</v>
      </c>
      <c r="K48" s="70" t="s">
        <v>72</v>
      </c>
      <c r="L48" s="71">
        <f>J48*0.2</f>
        <v>6744</v>
      </c>
      <c r="M48" s="50" t="s">
        <v>27</v>
      </c>
      <c r="N48" s="71">
        <f>J48*0.8</f>
        <v>26976</v>
      </c>
      <c r="O48" s="73" t="s">
        <v>27</v>
      </c>
      <c r="P48" s="73" t="s">
        <v>27</v>
      </c>
      <c r="Q48" s="48">
        <v>44733</v>
      </c>
      <c r="R48" s="41">
        <v>903029</v>
      </c>
      <c r="S48" s="41" t="s">
        <v>119</v>
      </c>
    </row>
    <row r="49" spans="1:19" ht="31.35" hidden="1" customHeight="1" x14ac:dyDescent="0.3">
      <c r="A49" s="74" t="s">
        <v>151</v>
      </c>
      <c r="B49" s="70" t="s">
        <v>152</v>
      </c>
      <c r="C49" s="45" t="s">
        <v>153</v>
      </c>
      <c r="D49" s="48">
        <v>44699</v>
      </c>
      <c r="E49" s="48" t="s">
        <v>84</v>
      </c>
      <c r="F49" s="6" t="s">
        <v>146</v>
      </c>
      <c r="G49" s="6" t="s">
        <v>35</v>
      </c>
      <c r="H49" s="46" t="s">
        <v>25</v>
      </c>
      <c r="I49" s="34">
        <v>7930.71</v>
      </c>
      <c r="J49" s="12">
        <v>1189.67</v>
      </c>
      <c r="K49" s="75" t="s">
        <v>72</v>
      </c>
      <c r="L49" s="76">
        <f>J49*0.8</f>
        <v>951.7360000000001</v>
      </c>
      <c r="M49" s="50" t="s">
        <v>27</v>
      </c>
      <c r="N49" s="76">
        <f>J49*0.2</f>
        <v>237.93400000000003</v>
      </c>
      <c r="O49" s="78" t="s">
        <v>27</v>
      </c>
      <c r="P49" s="78" t="s">
        <v>27</v>
      </c>
      <c r="Q49" s="48">
        <v>44742</v>
      </c>
      <c r="R49" s="41">
        <v>6977</v>
      </c>
      <c r="S49" s="41" t="s">
        <v>144</v>
      </c>
    </row>
    <row r="50" spans="1:19" ht="31.35" hidden="1" customHeight="1" x14ac:dyDescent="0.3">
      <c r="A50" s="6" t="s">
        <v>154</v>
      </c>
      <c r="B50" s="5" t="s">
        <v>53</v>
      </c>
      <c r="C50" s="41">
        <v>62480</v>
      </c>
      <c r="D50" s="85">
        <v>44700</v>
      </c>
      <c r="E50" s="86" t="s">
        <v>84</v>
      </c>
      <c r="F50" s="6" t="s">
        <v>53</v>
      </c>
      <c r="G50" s="6" t="s">
        <v>155</v>
      </c>
      <c r="H50" s="6" t="s">
        <v>142</v>
      </c>
      <c r="I50" s="9">
        <v>0</v>
      </c>
      <c r="J50" s="9">
        <f>I50*0.2</f>
        <v>0</v>
      </c>
      <c r="K50" s="5" t="s">
        <v>26</v>
      </c>
      <c r="L50" s="9">
        <v>0</v>
      </c>
      <c r="M50" s="34"/>
      <c r="N50" s="34">
        <f>J50</f>
        <v>0</v>
      </c>
      <c r="O50" s="80" t="s">
        <v>27</v>
      </c>
      <c r="P50" s="80" t="s">
        <v>27</v>
      </c>
      <c r="Q50" s="6"/>
      <c r="R50" s="87"/>
      <c r="S50" s="41"/>
    </row>
    <row r="51" spans="1:19" ht="31.35" hidden="1" customHeight="1" x14ac:dyDescent="0.3">
      <c r="A51" s="46" t="s">
        <v>156</v>
      </c>
      <c r="B51" s="62" t="s">
        <v>157</v>
      </c>
      <c r="C51" s="41">
        <v>769701</v>
      </c>
      <c r="D51" s="48">
        <v>44704</v>
      </c>
      <c r="E51" s="48" t="s">
        <v>84</v>
      </c>
      <c r="F51" s="6" t="s">
        <v>158</v>
      </c>
      <c r="G51" s="6" t="s">
        <v>1520</v>
      </c>
      <c r="H51" s="46" t="s">
        <v>25</v>
      </c>
      <c r="I51" s="34">
        <v>365000</v>
      </c>
      <c r="J51" s="34">
        <f>I51*0.15</f>
        <v>54750</v>
      </c>
      <c r="K51" s="62" t="s">
        <v>26</v>
      </c>
      <c r="L51" s="34">
        <v>0</v>
      </c>
      <c r="M51" s="34"/>
      <c r="N51" s="34">
        <f>J51</f>
        <v>54750</v>
      </c>
      <c r="O51" s="50" t="s">
        <v>27</v>
      </c>
      <c r="P51" s="50" t="s">
        <v>27</v>
      </c>
      <c r="Q51" s="48">
        <v>44712</v>
      </c>
      <c r="R51" s="41">
        <v>6664</v>
      </c>
      <c r="S51" s="41" t="s">
        <v>119</v>
      </c>
    </row>
    <row r="52" spans="1:19" ht="31.35" hidden="1" customHeight="1" x14ac:dyDescent="0.3">
      <c r="A52" s="46" t="s">
        <v>159</v>
      </c>
      <c r="B52" s="62" t="s">
        <v>160</v>
      </c>
      <c r="C52" s="45" t="s">
        <v>161</v>
      </c>
      <c r="D52" s="48">
        <v>44707</v>
      </c>
      <c r="E52" s="48" t="s">
        <v>84</v>
      </c>
      <c r="F52" s="6" t="s">
        <v>57</v>
      </c>
      <c r="G52" s="52" t="s">
        <v>61</v>
      </c>
      <c r="H52" s="46" t="s">
        <v>25</v>
      </c>
      <c r="I52" s="34">
        <v>56000</v>
      </c>
      <c r="J52" s="34">
        <f>I52*0.15</f>
        <v>8400</v>
      </c>
      <c r="K52" s="62" t="s">
        <v>26</v>
      </c>
      <c r="L52" s="34">
        <v>0</v>
      </c>
      <c r="M52" s="34"/>
      <c r="N52" s="34">
        <f>J52</f>
        <v>8400</v>
      </c>
      <c r="O52" s="50" t="s">
        <v>27</v>
      </c>
      <c r="P52" s="50" t="s">
        <v>27</v>
      </c>
      <c r="Q52" s="48">
        <v>44746</v>
      </c>
      <c r="R52" s="41">
        <v>7005</v>
      </c>
      <c r="S52" s="41" t="s">
        <v>144</v>
      </c>
    </row>
    <row r="53" spans="1:19" ht="31.35" hidden="1" customHeight="1" x14ac:dyDescent="0.3">
      <c r="A53" s="46" t="s">
        <v>162</v>
      </c>
      <c r="B53" s="62" t="s">
        <v>163</v>
      </c>
      <c r="C53" s="41" t="s">
        <v>164</v>
      </c>
      <c r="D53" s="48">
        <v>44707</v>
      </c>
      <c r="E53" s="48" t="s">
        <v>84</v>
      </c>
      <c r="F53" s="6" t="s">
        <v>65</v>
      </c>
      <c r="G53" s="6" t="s">
        <v>1519</v>
      </c>
      <c r="H53" s="46" t="s">
        <v>47</v>
      </c>
      <c r="I53" s="34">
        <v>281000</v>
      </c>
      <c r="J53" s="34">
        <f>I53*0.12</f>
        <v>33720</v>
      </c>
      <c r="K53" s="62" t="s">
        <v>72</v>
      </c>
      <c r="L53" s="34">
        <f>J53*0.2</f>
        <v>6744</v>
      </c>
      <c r="M53" s="49" t="s">
        <v>27</v>
      </c>
      <c r="N53" s="34">
        <f>J53*0.8</f>
        <v>26976</v>
      </c>
      <c r="O53" s="50" t="s">
        <v>27</v>
      </c>
      <c r="P53" s="50" t="s">
        <v>27</v>
      </c>
      <c r="Q53" s="48">
        <v>44726</v>
      </c>
      <c r="R53" s="41">
        <v>903029</v>
      </c>
      <c r="S53" s="41" t="s">
        <v>119</v>
      </c>
    </row>
    <row r="54" spans="1:19" ht="31.35" hidden="1" customHeight="1" x14ac:dyDescent="0.3">
      <c r="A54" s="6" t="s">
        <v>154</v>
      </c>
      <c r="B54" s="5" t="s">
        <v>145</v>
      </c>
      <c r="C54" s="41">
        <v>38399</v>
      </c>
      <c r="D54" s="85">
        <v>44707</v>
      </c>
      <c r="E54" s="86" t="s">
        <v>84</v>
      </c>
      <c r="F54" s="6" t="s">
        <v>146</v>
      </c>
      <c r="G54" s="6" t="s">
        <v>24</v>
      </c>
      <c r="H54" s="6" t="s">
        <v>142</v>
      </c>
      <c r="I54" s="9">
        <v>0</v>
      </c>
      <c r="J54" s="9">
        <f>I54*0.2</f>
        <v>0</v>
      </c>
      <c r="K54" s="5" t="s">
        <v>26</v>
      </c>
      <c r="L54" s="9">
        <v>0</v>
      </c>
      <c r="M54" s="34"/>
      <c r="N54" s="34">
        <f>J54</f>
        <v>0</v>
      </c>
      <c r="O54" s="80" t="s">
        <v>27</v>
      </c>
      <c r="P54" s="80" t="s">
        <v>27</v>
      </c>
      <c r="Q54" s="6"/>
      <c r="R54" s="87"/>
      <c r="S54" s="41"/>
    </row>
    <row r="55" spans="1:19" ht="31.35" hidden="1" customHeight="1" x14ac:dyDescent="0.3">
      <c r="A55" s="46" t="s">
        <v>162</v>
      </c>
      <c r="B55" s="62" t="s">
        <v>163</v>
      </c>
      <c r="C55" s="41" t="s">
        <v>165</v>
      </c>
      <c r="D55" s="48">
        <v>44712</v>
      </c>
      <c r="E55" s="48" t="s">
        <v>84</v>
      </c>
      <c r="F55" s="6" t="s">
        <v>57</v>
      </c>
      <c r="G55" s="52" t="s">
        <v>61</v>
      </c>
      <c r="H55" s="46" t="s">
        <v>47</v>
      </c>
      <c r="I55" s="34">
        <v>619290</v>
      </c>
      <c r="J55" s="34">
        <f>I55*0.15</f>
        <v>92893.5</v>
      </c>
      <c r="K55" s="62" t="s">
        <v>68</v>
      </c>
      <c r="L55" s="34">
        <f>J55*0.4</f>
        <v>37157.4</v>
      </c>
      <c r="M55" s="49" t="s">
        <v>27</v>
      </c>
      <c r="N55" s="34">
        <f>J55*0.6</f>
        <v>55736.1</v>
      </c>
      <c r="O55" s="50" t="s">
        <v>27</v>
      </c>
      <c r="P55" s="50" t="s">
        <v>27</v>
      </c>
      <c r="Q55" s="48">
        <v>44726</v>
      </c>
      <c r="R55" s="41">
        <v>903029</v>
      </c>
      <c r="S55" s="41" t="s">
        <v>119</v>
      </c>
    </row>
    <row r="56" spans="1:19" ht="31.35" hidden="1" customHeight="1" x14ac:dyDescent="0.3">
      <c r="A56" s="46" t="s">
        <v>166</v>
      </c>
      <c r="B56" s="211" t="s">
        <v>167</v>
      </c>
      <c r="C56" s="45" t="s">
        <v>168</v>
      </c>
      <c r="D56" s="48">
        <v>44715</v>
      </c>
      <c r="E56" s="48" t="s">
        <v>119</v>
      </c>
      <c r="F56" s="6" t="s">
        <v>57</v>
      </c>
      <c r="G56" s="6" t="s">
        <v>118</v>
      </c>
      <c r="H56" s="46" t="s">
        <v>25</v>
      </c>
      <c r="I56" s="34">
        <v>75388.17</v>
      </c>
      <c r="J56" s="34">
        <f>I56*0.18</f>
        <v>13569.870599999998</v>
      </c>
      <c r="K56" s="62" t="s">
        <v>169</v>
      </c>
      <c r="L56" s="34">
        <f>J56*0.5</f>
        <v>6784.9352999999992</v>
      </c>
      <c r="M56" s="49" t="s">
        <v>27</v>
      </c>
      <c r="N56" s="34">
        <f>J56*0.5</f>
        <v>6784.9352999999992</v>
      </c>
      <c r="O56" s="50" t="s">
        <v>27</v>
      </c>
      <c r="P56" s="50" t="s">
        <v>27</v>
      </c>
      <c r="Q56" s="48">
        <v>44804</v>
      </c>
      <c r="R56" s="41">
        <v>7633</v>
      </c>
      <c r="S56" s="41" t="s">
        <v>170</v>
      </c>
    </row>
    <row r="57" spans="1:19" ht="31.35" hidden="1" customHeight="1" x14ac:dyDescent="0.3">
      <c r="A57" s="74" t="s">
        <v>171</v>
      </c>
      <c r="B57" s="212" t="s">
        <v>172</v>
      </c>
      <c r="C57" s="89" t="s">
        <v>173</v>
      </c>
      <c r="D57" s="66">
        <v>44721</v>
      </c>
      <c r="E57" s="48" t="s">
        <v>119</v>
      </c>
      <c r="F57" s="21" t="s">
        <v>57</v>
      </c>
      <c r="G57" s="6" t="s">
        <v>118</v>
      </c>
      <c r="H57" s="88" t="s">
        <v>25</v>
      </c>
      <c r="I57" s="71">
        <v>1609105.9</v>
      </c>
      <c r="J57" s="71">
        <f>I57*0.1901</f>
        <v>305891.03158999997</v>
      </c>
      <c r="K57" s="70" t="s">
        <v>79</v>
      </c>
      <c r="L57" s="71">
        <f>J57*0.5</f>
        <v>152945.51579499998</v>
      </c>
      <c r="M57" s="72" t="s">
        <v>27</v>
      </c>
      <c r="N57" s="71">
        <f>J57*0.5</f>
        <v>152945.51579499998</v>
      </c>
      <c r="O57" s="73" t="s">
        <v>27</v>
      </c>
      <c r="P57" s="73" t="s">
        <v>27</v>
      </c>
      <c r="Q57" s="48">
        <v>44767</v>
      </c>
      <c r="R57" s="41">
        <v>7207</v>
      </c>
      <c r="S57" s="41" t="s">
        <v>73</v>
      </c>
    </row>
    <row r="58" spans="1:19" ht="31.35" hidden="1" customHeight="1" x14ac:dyDescent="0.3">
      <c r="A58" s="74" t="s">
        <v>174</v>
      </c>
      <c r="B58" s="70" t="s">
        <v>175</v>
      </c>
      <c r="C58" s="41" t="s">
        <v>176</v>
      </c>
      <c r="D58" s="48">
        <v>44727</v>
      </c>
      <c r="E58" s="48" t="s">
        <v>119</v>
      </c>
      <c r="F58" s="6" t="s">
        <v>57</v>
      </c>
      <c r="G58" s="6" t="s">
        <v>67</v>
      </c>
      <c r="H58" s="46" t="s">
        <v>47</v>
      </c>
      <c r="I58" s="34">
        <v>714624.23</v>
      </c>
      <c r="J58" s="76">
        <f>I58*0.15</f>
        <v>107193.6345</v>
      </c>
      <c r="K58" s="75" t="s">
        <v>68</v>
      </c>
      <c r="L58" s="76">
        <f>J58*0.4</f>
        <v>42877.453800000003</v>
      </c>
      <c r="M58" s="77" t="s">
        <v>27</v>
      </c>
      <c r="N58" s="76">
        <f>J58*0.6</f>
        <v>64316.180699999997</v>
      </c>
      <c r="O58" s="78" t="s">
        <v>27</v>
      </c>
      <c r="P58" s="78" t="s">
        <v>27</v>
      </c>
      <c r="Q58" s="48">
        <v>44748</v>
      </c>
      <c r="R58" s="41">
        <v>914383</v>
      </c>
      <c r="S58" s="41" t="s">
        <v>144</v>
      </c>
    </row>
    <row r="59" spans="1:19" ht="31.35" hidden="1" customHeight="1" x14ac:dyDescent="0.3">
      <c r="A59" s="46" t="s">
        <v>174</v>
      </c>
      <c r="B59" s="62" t="s">
        <v>175</v>
      </c>
      <c r="C59" s="41" t="s">
        <v>177</v>
      </c>
      <c r="D59" s="48">
        <v>44727</v>
      </c>
      <c r="E59" s="48" t="s">
        <v>119</v>
      </c>
      <c r="F59" s="6" t="s">
        <v>65</v>
      </c>
      <c r="G59" s="6" t="s">
        <v>35</v>
      </c>
      <c r="H59" s="46" t="s">
        <v>47</v>
      </c>
      <c r="I59" s="34">
        <v>258500</v>
      </c>
      <c r="J59" s="34">
        <f>I59*0.12</f>
        <v>31020</v>
      </c>
      <c r="K59" s="62" t="s">
        <v>72</v>
      </c>
      <c r="L59" s="34">
        <f>J59*0.2</f>
        <v>6204</v>
      </c>
      <c r="M59" s="49" t="s">
        <v>27</v>
      </c>
      <c r="N59" s="34">
        <f>J59*0.8</f>
        <v>24816</v>
      </c>
      <c r="O59" s="50" t="s">
        <v>27</v>
      </c>
      <c r="P59" s="50" t="s">
        <v>27</v>
      </c>
      <c r="Q59" s="48">
        <v>44748</v>
      </c>
      <c r="R59" s="41">
        <v>914383</v>
      </c>
      <c r="S59" s="41" t="s">
        <v>144</v>
      </c>
    </row>
    <row r="60" spans="1:19" ht="31.35" hidden="1" customHeight="1" x14ac:dyDescent="0.3">
      <c r="A60" s="46" t="s">
        <v>132</v>
      </c>
      <c r="B60" s="211" t="s">
        <v>178</v>
      </c>
      <c r="C60" s="45" t="s">
        <v>179</v>
      </c>
      <c r="D60" s="48">
        <v>44729</v>
      </c>
      <c r="E60" s="48" t="s">
        <v>119</v>
      </c>
      <c r="F60" s="6" t="s">
        <v>57</v>
      </c>
      <c r="G60" s="6" t="s">
        <v>118</v>
      </c>
      <c r="H60" s="46" t="s">
        <v>25</v>
      </c>
      <c r="I60" s="34">
        <v>612032.41</v>
      </c>
      <c r="J60" s="34">
        <f>I60*0.1901</f>
        <v>116347.361141</v>
      </c>
      <c r="K60" s="62" t="s">
        <v>79</v>
      </c>
      <c r="L60" s="34">
        <f>J60*0.5</f>
        <v>58173.680570500001</v>
      </c>
      <c r="M60" s="49" t="s">
        <v>27</v>
      </c>
      <c r="N60" s="34">
        <f>J60*0.5</f>
        <v>58173.680570500001</v>
      </c>
      <c r="O60" s="50" t="s">
        <v>27</v>
      </c>
      <c r="P60" s="50" t="s">
        <v>27</v>
      </c>
      <c r="Q60" s="48">
        <v>44739</v>
      </c>
      <c r="R60" s="41">
        <v>6910</v>
      </c>
      <c r="S60" s="41" t="s">
        <v>144</v>
      </c>
    </row>
    <row r="61" spans="1:19" s="107" customFormat="1" ht="31.35" hidden="1" customHeight="1" x14ac:dyDescent="0.3">
      <c r="A61" s="97" t="s">
        <v>180</v>
      </c>
      <c r="B61" s="98" t="s">
        <v>181</v>
      </c>
      <c r="C61" s="99" t="s">
        <v>182</v>
      </c>
      <c r="D61" s="100">
        <v>44733</v>
      </c>
      <c r="E61" s="101" t="s">
        <v>119</v>
      </c>
      <c r="F61" s="102" t="s">
        <v>65</v>
      </c>
      <c r="G61" s="102" t="s">
        <v>1519</v>
      </c>
      <c r="H61" s="97" t="s">
        <v>47</v>
      </c>
      <c r="I61" s="103">
        <v>280799.99</v>
      </c>
      <c r="J61" s="103">
        <f>I61*0.12</f>
        <v>33695.998800000001</v>
      </c>
      <c r="K61" s="98" t="s">
        <v>72</v>
      </c>
      <c r="L61" s="103">
        <f>J61*0.2</f>
        <v>6739.1997600000004</v>
      </c>
      <c r="M61" s="104" t="s">
        <v>27</v>
      </c>
      <c r="N61" s="103">
        <f>J61*0.8</f>
        <v>26956.799040000002</v>
      </c>
      <c r="O61" s="105" t="s">
        <v>27</v>
      </c>
      <c r="P61" s="105" t="s">
        <v>27</v>
      </c>
      <c r="Q61" s="101">
        <v>44754</v>
      </c>
      <c r="R61" s="106">
        <v>914383</v>
      </c>
      <c r="S61" s="106" t="s">
        <v>144</v>
      </c>
    </row>
    <row r="62" spans="1:19" s="107" customFormat="1" ht="31.35" hidden="1" customHeight="1" x14ac:dyDescent="0.3">
      <c r="A62" s="97" t="s">
        <v>180</v>
      </c>
      <c r="B62" s="98" t="s">
        <v>181</v>
      </c>
      <c r="C62" s="99" t="s">
        <v>183</v>
      </c>
      <c r="D62" s="100">
        <v>44733</v>
      </c>
      <c r="E62" s="101" t="s">
        <v>119</v>
      </c>
      <c r="F62" s="102" t="s">
        <v>57</v>
      </c>
      <c r="G62" s="102" t="s">
        <v>61</v>
      </c>
      <c r="H62" s="97" t="s">
        <v>47</v>
      </c>
      <c r="I62" s="103">
        <v>895370.62</v>
      </c>
      <c r="J62" s="103">
        <f>I62*0.15</f>
        <v>134305.59299999999</v>
      </c>
      <c r="K62" s="98" t="s">
        <v>68</v>
      </c>
      <c r="L62" s="103">
        <f>J62*0.4</f>
        <v>53722.237200000003</v>
      </c>
      <c r="M62" s="104" t="s">
        <v>27</v>
      </c>
      <c r="N62" s="103">
        <f>J62*0.6</f>
        <v>80583.35579999999</v>
      </c>
      <c r="O62" s="105" t="s">
        <v>27</v>
      </c>
      <c r="P62" s="105" t="s">
        <v>27</v>
      </c>
      <c r="Q62" s="101">
        <v>44754</v>
      </c>
      <c r="R62" s="106">
        <v>914383</v>
      </c>
      <c r="S62" s="106" t="s">
        <v>144</v>
      </c>
    </row>
    <row r="63" spans="1:19" s="107" customFormat="1" ht="31.35" customHeight="1" x14ac:dyDescent="0.3">
      <c r="A63" s="97" t="s">
        <v>62</v>
      </c>
      <c r="B63" s="98" t="s">
        <v>184</v>
      </c>
      <c r="C63" s="102" t="s">
        <v>185</v>
      </c>
      <c r="D63" s="100">
        <v>44733</v>
      </c>
      <c r="E63" s="101" t="s">
        <v>119</v>
      </c>
      <c r="F63" s="102" t="s">
        <v>65</v>
      </c>
      <c r="G63" s="102" t="s">
        <v>35</v>
      </c>
      <c r="H63" s="97" t="s">
        <v>47</v>
      </c>
      <c r="I63" s="108">
        <v>321000</v>
      </c>
      <c r="J63" s="109">
        <v>38520.019999999997</v>
      </c>
      <c r="K63" s="98" t="s">
        <v>72</v>
      </c>
      <c r="L63" s="103">
        <f>J63*0.2</f>
        <v>7704.0039999999999</v>
      </c>
      <c r="M63" s="104" t="s">
        <v>27</v>
      </c>
      <c r="N63" s="103">
        <f>J63*0.8</f>
        <v>30816.016</v>
      </c>
      <c r="O63" s="105" t="s">
        <v>27</v>
      </c>
      <c r="P63" s="105" t="s">
        <v>27</v>
      </c>
      <c r="Q63" s="101">
        <v>44768</v>
      </c>
      <c r="R63" s="106">
        <v>914383</v>
      </c>
      <c r="S63" s="106" t="s">
        <v>144</v>
      </c>
    </row>
    <row r="64" spans="1:19" s="107" customFormat="1" ht="31.35" customHeight="1" x14ac:dyDescent="0.3">
      <c r="A64" s="97" t="s">
        <v>62</v>
      </c>
      <c r="B64" s="98" t="s">
        <v>184</v>
      </c>
      <c r="C64" s="99" t="s">
        <v>186</v>
      </c>
      <c r="D64" s="101">
        <v>44733</v>
      </c>
      <c r="E64" s="101" t="s">
        <v>119</v>
      </c>
      <c r="F64" s="102" t="s">
        <v>57</v>
      </c>
      <c r="G64" s="110" t="s">
        <v>1521</v>
      </c>
      <c r="H64" s="97" t="s">
        <v>47</v>
      </c>
      <c r="I64" s="103">
        <v>1136743.42</v>
      </c>
      <c r="J64" s="103">
        <f>I64*0.15</f>
        <v>170511.51299999998</v>
      </c>
      <c r="K64" s="98" t="s">
        <v>68</v>
      </c>
      <c r="L64" s="103">
        <f>J64*0.4</f>
        <v>68204.605199999991</v>
      </c>
      <c r="M64" s="105" t="s">
        <v>27</v>
      </c>
      <c r="N64" s="103">
        <f>J64*0.6</f>
        <v>102306.90779999999</v>
      </c>
      <c r="O64" s="105" t="s">
        <v>27</v>
      </c>
      <c r="P64" s="105" t="s">
        <v>27</v>
      </c>
      <c r="Q64" s="101">
        <v>44754</v>
      </c>
      <c r="R64" s="106">
        <v>914383</v>
      </c>
      <c r="S64" s="106" t="s">
        <v>144</v>
      </c>
    </row>
    <row r="65" spans="1:19" s="107" customFormat="1" ht="31.35" hidden="1" customHeight="1" x14ac:dyDescent="0.3">
      <c r="A65" s="97" t="s">
        <v>187</v>
      </c>
      <c r="B65" s="98" t="s">
        <v>188</v>
      </c>
      <c r="C65" s="111" t="s">
        <v>189</v>
      </c>
      <c r="D65" s="112">
        <v>44739</v>
      </c>
      <c r="E65" s="101" t="s">
        <v>119</v>
      </c>
      <c r="F65" s="102" t="s">
        <v>71</v>
      </c>
      <c r="G65" s="110" t="s">
        <v>46</v>
      </c>
      <c r="H65" s="97" t="s">
        <v>25</v>
      </c>
      <c r="I65" s="103">
        <v>256744.83</v>
      </c>
      <c r="J65" s="103">
        <f>I65*0.15</f>
        <v>38511.724499999997</v>
      </c>
      <c r="K65" s="98" t="s">
        <v>72</v>
      </c>
      <c r="L65" s="103">
        <v>30809.37</v>
      </c>
      <c r="M65" s="104" t="s">
        <v>27</v>
      </c>
      <c r="N65" s="103">
        <f>J65*0.2</f>
        <v>7702.3449000000001</v>
      </c>
      <c r="O65" s="105" t="s">
        <v>27</v>
      </c>
      <c r="P65" s="105" t="s">
        <v>27</v>
      </c>
      <c r="Q65" s="101">
        <v>44823</v>
      </c>
      <c r="R65" s="106">
        <v>7830</v>
      </c>
      <c r="S65" s="106" t="s">
        <v>170</v>
      </c>
    </row>
    <row r="66" spans="1:19" s="107" customFormat="1" ht="31.35" hidden="1" customHeight="1" x14ac:dyDescent="0.3">
      <c r="A66" s="97" t="s">
        <v>190</v>
      </c>
      <c r="B66" s="98" t="s">
        <v>191</v>
      </c>
      <c r="C66" s="99" t="s">
        <v>192</v>
      </c>
      <c r="D66" s="101">
        <v>44747</v>
      </c>
      <c r="E66" s="101" t="s">
        <v>144</v>
      </c>
      <c r="F66" s="102" t="s">
        <v>23</v>
      </c>
      <c r="G66" s="102" t="s">
        <v>24</v>
      </c>
      <c r="H66" s="97" t="s">
        <v>25</v>
      </c>
      <c r="I66" s="103">
        <v>28125</v>
      </c>
      <c r="J66" s="103">
        <f>I66*0.15</f>
        <v>4218.75</v>
      </c>
      <c r="K66" s="98" t="s">
        <v>26</v>
      </c>
      <c r="L66" s="103">
        <v>0</v>
      </c>
      <c r="M66" s="103"/>
      <c r="N66" s="103">
        <f>J66</f>
        <v>4218.75</v>
      </c>
      <c r="O66" s="105" t="s">
        <v>27</v>
      </c>
      <c r="P66" s="105" t="s">
        <v>27</v>
      </c>
      <c r="Q66" s="101">
        <v>44804</v>
      </c>
      <c r="R66" s="106">
        <v>7633</v>
      </c>
      <c r="S66" s="106" t="s">
        <v>170</v>
      </c>
    </row>
    <row r="67" spans="1:19" s="107" customFormat="1" ht="31.35" hidden="1" customHeight="1" x14ac:dyDescent="0.3">
      <c r="A67" s="97" t="s">
        <v>193</v>
      </c>
      <c r="B67" s="98" t="s">
        <v>145</v>
      </c>
      <c r="C67" s="106">
        <v>38551</v>
      </c>
      <c r="D67" s="101">
        <v>44761</v>
      </c>
      <c r="E67" s="101" t="s">
        <v>144</v>
      </c>
      <c r="F67" s="102" t="s">
        <v>146</v>
      </c>
      <c r="G67" s="102" t="s">
        <v>24</v>
      </c>
      <c r="H67" s="102" t="s">
        <v>142</v>
      </c>
      <c r="I67" s="108">
        <v>444964.2</v>
      </c>
      <c r="J67" s="113">
        <f>I67*0.2</f>
        <v>88992.840000000011</v>
      </c>
      <c r="K67" s="114" t="s">
        <v>26</v>
      </c>
      <c r="L67" s="108">
        <v>0</v>
      </c>
      <c r="M67" s="103"/>
      <c r="N67" s="103">
        <f>J67</f>
        <v>88992.840000000011</v>
      </c>
      <c r="O67" s="105" t="s">
        <v>27</v>
      </c>
      <c r="P67" s="105" t="s">
        <v>27</v>
      </c>
      <c r="Q67" s="101">
        <v>44773</v>
      </c>
      <c r="R67" s="106">
        <v>4625788</v>
      </c>
      <c r="S67" s="106" t="s">
        <v>73</v>
      </c>
    </row>
    <row r="68" spans="1:19" s="107" customFormat="1" ht="31.35" hidden="1" customHeight="1" x14ac:dyDescent="0.3">
      <c r="A68" s="97" t="s">
        <v>194</v>
      </c>
      <c r="B68" s="98" t="s">
        <v>195</v>
      </c>
      <c r="C68" s="106">
        <v>9338</v>
      </c>
      <c r="D68" s="101">
        <v>44768</v>
      </c>
      <c r="E68" s="101" t="s">
        <v>144</v>
      </c>
      <c r="F68" s="102" t="s">
        <v>146</v>
      </c>
      <c r="G68" s="102" t="s">
        <v>24</v>
      </c>
      <c r="H68" s="102" t="s">
        <v>142</v>
      </c>
      <c r="I68" s="108">
        <v>0</v>
      </c>
      <c r="J68" s="108">
        <v>0</v>
      </c>
      <c r="K68" s="115" t="s">
        <v>26</v>
      </c>
      <c r="L68" s="108">
        <v>0</v>
      </c>
      <c r="M68" s="103"/>
      <c r="N68" s="103">
        <v>0</v>
      </c>
      <c r="O68" s="105" t="s">
        <v>27</v>
      </c>
      <c r="P68" s="105" t="s">
        <v>27</v>
      </c>
      <c r="Q68" s="101">
        <v>44803</v>
      </c>
      <c r="R68" s="106">
        <v>4038606</v>
      </c>
      <c r="S68" s="106" t="s">
        <v>106</v>
      </c>
    </row>
    <row r="69" spans="1:19" s="107" customFormat="1" ht="31.35" hidden="1" customHeight="1" x14ac:dyDescent="0.3">
      <c r="A69" s="102" t="s">
        <v>196</v>
      </c>
      <c r="B69" s="213" t="s">
        <v>197</v>
      </c>
      <c r="C69" s="99" t="s">
        <v>198</v>
      </c>
      <c r="D69" s="101">
        <v>44774</v>
      </c>
      <c r="E69" s="101" t="s">
        <v>73</v>
      </c>
      <c r="F69" s="102" t="s">
        <v>57</v>
      </c>
      <c r="G69" s="102" t="s">
        <v>118</v>
      </c>
      <c r="H69" s="97" t="s">
        <v>25</v>
      </c>
      <c r="I69" s="103">
        <v>1035737.88</v>
      </c>
      <c r="J69" s="103">
        <f>I69*0.18</f>
        <v>186432.81839999999</v>
      </c>
      <c r="K69" s="98" t="s">
        <v>79</v>
      </c>
      <c r="L69" s="103">
        <f>J69*0.5</f>
        <v>93216.409199999995</v>
      </c>
      <c r="M69" s="104" t="s">
        <v>27</v>
      </c>
      <c r="N69" s="103">
        <f>J69*0.5</f>
        <v>93216.409199999995</v>
      </c>
      <c r="O69" s="105" t="s">
        <v>27</v>
      </c>
      <c r="P69" s="105" t="s">
        <v>27</v>
      </c>
      <c r="Q69" s="101">
        <v>44795</v>
      </c>
      <c r="R69" s="106">
        <v>7489</v>
      </c>
      <c r="S69" s="106" t="s">
        <v>73</v>
      </c>
    </row>
    <row r="70" spans="1:19" s="107" customFormat="1" ht="31.35" hidden="1" customHeight="1" x14ac:dyDescent="0.3">
      <c r="A70" s="97" t="s">
        <v>137</v>
      </c>
      <c r="B70" s="213" t="s">
        <v>138</v>
      </c>
      <c r="C70" s="106">
        <v>854701</v>
      </c>
      <c r="D70" s="101">
        <v>44776</v>
      </c>
      <c r="E70" s="101" t="s">
        <v>73</v>
      </c>
      <c r="F70" s="102" t="s">
        <v>71</v>
      </c>
      <c r="G70" s="102" t="s">
        <v>118</v>
      </c>
      <c r="H70" s="97" t="s">
        <v>25</v>
      </c>
      <c r="I70" s="103">
        <v>282545.67</v>
      </c>
      <c r="J70" s="103">
        <f>I70*0.18</f>
        <v>50858.220599999993</v>
      </c>
      <c r="K70" s="98" t="s">
        <v>79</v>
      </c>
      <c r="L70" s="103">
        <f>J70*0.5</f>
        <v>25429.110299999997</v>
      </c>
      <c r="M70" s="104" t="s">
        <v>27</v>
      </c>
      <c r="N70" s="103">
        <f>J70*0.5</f>
        <v>25429.110299999997</v>
      </c>
      <c r="O70" s="105" t="s">
        <v>27</v>
      </c>
      <c r="P70" s="105" t="s">
        <v>27</v>
      </c>
      <c r="Q70" s="101">
        <v>44800</v>
      </c>
      <c r="R70" s="106">
        <v>7556</v>
      </c>
      <c r="S70" s="106" t="s">
        <v>73</v>
      </c>
    </row>
    <row r="71" spans="1:19" s="107" customFormat="1" ht="31.35" hidden="1" customHeight="1" x14ac:dyDescent="0.3">
      <c r="A71" s="97" t="s">
        <v>199</v>
      </c>
      <c r="B71" s="213" t="s">
        <v>200</v>
      </c>
      <c r="C71" s="99" t="s">
        <v>201</v>
      </c>
      <c r="D71" s="101">
        <v>44776</v>
      </c>
      <c r="E71" s="101" t="s">
        <v>73</v>
      </c>
      <c r="F71" s="102" t="s">
        <v>71</v>
      </c>
      <c r="G71" s="102" t="s">
        <v>118</v>
      </c>
      <c r="H71" s="97" t="s">
        <v>25</v>
      </c>
      <c r="I71" s="103">
        <v>282545.67</v>
      </c>
      <c r="J71" s="103">
        <f>I71*0.18</f>
        <v>50858.220599999993</v>
      </c>
      <c r="K71" s="98" t="s">
        <v>79</v>
      </c>
      <c r="L71" s="103">
        <f>J71*0.5</f>
        <v>25429.110299999997</v>
      </c>
      <c r="M71" s="104" t="s">
        <v>27</v>
      </c>
      <c r="N71" s="103">
        <f>J71*0.5</f>
        <v>25429.110299999997</v>
      </c>
      <c r="O71" s="105" t="s">
        <v>27</v>
      </c>
      <c r="P71" s="105" t="s">
        <v>27</v>
      </c>
      <c r="Q71" s="101">
        <v>44795</v>
      </c>
      <c r="R71" s="106">
        <v>7489</v>
      </c>
      <c r="S71" s="106" t="s">
        <v>73</v>
      </c>
    </row>
    <row r="72" spans="1:19" s="107" customFormat="1" ht="31.35" hidden="1" customHeight="1" x14ac:dyDescent="0.3">
      <c r="A72" s="97" t="s">
        <v>196</v>
      </c>
      <c r="B72" s="213" t="s">
        <v>197</v>
      </c>
      <c r="C72" s="99" t="s">
        <v>202</v>
      </c>
      <c r="D72" s="101">
        <v>44776</v>
      </c>
      <c r="E72" s="101" t="s">
        <v>73</v>
      </c>
      <c r="F72" s="102" t="s">
        <v>71</v>
      </c>
      <c r="G72" s="102" t="s">
        <v>118</v>
      </c>
      <c r="H72" s="97" t="s">
        <v>25</v>
      </c>
      <c r="I72" s="103">
        <v>280967.88</v>
      </c>
      <c r="J72" s="103">
        <f>I72*0.18</f>
        <v>50574.218399999998</v>
      </c>
      <c r="K72" s="98" t="s">
        <v>79</v>
      </c>
      <c r="L72" s="103">
        <f>J72*0.5</f>
        <v>25287.109199999999</v>
      </c>
      <c r="M72" s="104" t="s">
        <v>27</v>
      </c>
      <c r="N72" s="103">
        <f>J72*0.5</f>
        <v>25287.109199999999</v>
      </c>
      <c r="O72" s="105" t="s">
        <v>27</v>
      </c>
      <c r="P72" s="105" t="s">
        <v>27</v>
      </c>
      <c r="Q72" s="101">
        <v>44804</v>
      </c>
      <c r="R72" s="106">
        <v>7633</v>
      </c>
      <c r="S72" s="106" t="s">
        <v>170</v>
      </c>
    </row>
    <row r="73" spans="1:19" s="107" customFormat="1" ht="31.35" hidden="1" customHeight="1" x14ac:dyDescent="0.3">
      <c r="A73" s="97" t="s">
        <v>93</v>
      </c>
      <c r="B73" s="98" t="s">
        <v>94</v>
      </c>
      <c r="C73" s="106" t="s">
        <v>203</v>
      </c>
      <c r="D73" s="101">
        <v>44781</v>
      </c>
      <c r="E73" s="101" t="s">
        <v>28</v>
      </c>
      <c r="F73" s="102" t="s">
        <v>204</v>
      </c>
      <c r="G73" s="102" t="s">
        <v>35</v>
      </c>
      <c r="H73" s="97" t="s">
        <v>47</v>
      </c>
      <c r="I73" s="103">
        <v>216000</v>
      </c>
      <c r="J73" s="103">
        <v>21599.759999999998</v>
      </c>
      <c r="K73" s="98" t="s">
        <v>72</v>
      </c>
      <c r="L73" s="103">
        <f>J73*0.2</f>
        <v>4319.9520000000002</v>
      </c>
      <c r="M73" s="104" t="s">
        <v>27</v>
      </c>
      <c r="N73" s="108">
        <f>J73*0.8</f>
        <v>17279.808000000001</v>
      </c>
      <c r="O73" s="105" t="s">
        <v>27</v>
      </c>
      <c r="P73" s="105" t="s">
        <v>27</v>
      </c>
      <c r="Q73" s="101">
        <v>44691</v>
      </c>
      <c r="R73" s="106">
        <v>892523</v>
      </c>
      <c r="S73" s="106" t="s">
        <v>84</v>
      </c>
    </row>
    <row r="74" spans="1:19" s="107" customFormat="1" ht="31.35" hidden="1" customHeight="1" x14ac:dyDescent="0.3">
      <c r="A74" s="97" t="s">
        <v>139</v>
      </c>
      <c r="B74" s="213" t="s">
        <v>133</v>
      </c>
      <c r="C74" s="106">
        <v>871101</v>
      </c>
      <c r="D74" s="101">
        <v>44784</v>
      </c>
      <c r="E74" s="101" t="s">
        <v>73</v>
      </c>
      <c r="F74" s="102" t="s">
        <v>71</v>
      </c>
      <c r="G74" s="102" t="s">
        <v>118</v>
      </c>
      <c r="H74" s="97" t="s">
        <v>25</v>
      </c>
      <c r="I74" s="103">
        <v>280968</v>
      </c>
      <c r="J74" s="103">
        <f>I74*0.18</f>
        <v>50574.239999999998</v>
      </c>
      <c r="K74" s="98" t="s">
        <v>79</v>
      </c>
      <c r="L74" s="103">
        <f>J74*0.5</f>
        <v>25287.119999999999</v>
      </c>
      <c r="M74" s="104" t="s">
        <v>27</v>
      </c>
      <c r="N74" s="103">
        <f>J74*0.5</f>
        <v>25287.119999999999</v>
      </c>
      <c r="O74" s="105" t="s">
        <v>27</v>
      </c>
      <c r="P74" s="105" t="s">
        <v>27</v>
      </c>
      <c r="Q74" s="101">
        <v>44804</v>
      </c>
      <c r="R74" s="106">
        <v>7633</v>
      </c>
      <c r="S74" s="106" t="s">
        <v>170</v>
      </c>
    </row>
    <row r="75" spans="1:19" s="107" customFormat="1" ht="31.35" hidden="1" customHeight="1" x14ac:dyDescent="0.3">
      <c r="A75" s="97" t="s">
        <v>132</v>
      </c>
      <c r="B75" s="213" t="s">
        <v>178</v>
      </c>
      <c r="C75" s="106">
        <v>871801</v>
      </c>
      <c r="D75" s="101">
        <v>44785</v>
      </c>
      <c r="E75" s="101" t="s">
        <v>73</v>
      </c>
      <c r="F75" s="102" t="s">
        <v>71</v>
      </c>
      <c r="G75" s="102" t="s">
        <v>118</v>
      </c>
      <c r="H75" s="97" t="s">
        <v>25</v>
      </c>
      <c r="I75" s="103">
        <v>280967.8</v>
      </c>
      <c r="J75" s="103">
        <f>I75*0.18</f>
        <v>50574.203999999998</v>
      </c>
      <c r="K75" s="98" t="s">
        <v>79</v>
      </c>
      <c r="L75" s="103">
        <f>J75*0.5</f>
        <v>25287.101999999999</v>
      </c>
      <c r="M75" s="104" t="s">
        <v>27</v>
      </c>
      <c r="N75" s="103">
        <f>J75*0.5</f>
        <v>25287.101999999999</v>
      </c>
      <c r="O75" s="105" t="s">
        <v>27</v>
      </c>
      <c r="P75" s="105" t="s">
        <v>27</v>
      </c>
      <c r="Q75" s="101">
        <v>44804</v>
      </c>
      <c r="R75" s="106">
        <v>7633</v>
      </c>
      <c r="S75" s="106" t="s">
        <v>170</v>
      </c>
    </row>
    <row r="76" spans="1:19" s="107" customFormat="1" ht="31.35" hidden="1" customHeight="1" x14ac:dyDescent="0.3">
      <c r="A76" s="102" t="s">
        <v>194</v>
      </c>
      <c r="B76" s="115" t="s">
        <v>83</v>
      </c>
      <c r="C76" s="106" t="s">
        <v>205</v>
      </c>
      <c r="D76" s="116">
        <v>44827</v>
      </c>
      <c r="E76" s="117" t="s">
        <v>170</v>
      </c>
      <c r="F76" s="102" t="s">
        <v>53</v>
      </c>
      <c r="G76" s="102" t="s">
        <v>24</v>
      </c>
      <c r="H76" s="102" t="s">
        <v>206</v>
      </c>
      <c r="I76" s="108">
        <v>40000</v>
      </c>
      <c r="J76" s="108"/>
      <c r="K76" s="115" t="s">
        <v>207</v>
      </c>
      <c r="L76" s="108">
        <v>0</v>
      </c>
      <c r="M76" s="118" t="s">
        <v>27</v>
      </c>
      <c r="N76" s="103">
        <v>0</v>
      </c>
      <c r="O76" s="118" t="s">
        <v>27</v>
      </c>
      <c r="P76" s="118" t="s">
        <v>27</v>
      </c>
      <c r="Q76" s="102"/>
      <c r="R76" s="119"/>
      <c r="S76" s="106"/>
    </row>
    <row r="77" spans="1:19" s="107" customFormat="1" ht="31.35" hidden="1" customHeight="1" x14ac:dyDescent="0.3">
      <c r="A77" s="102" t="s">
        <v>194</v>
      </c>
      <c r="B77" s="115" t="s">
        <v>208</v>
      </c>
      <c r="C77" s="106">
        <v>9338</v>
      </c>
      <c r="D77" s="116">
        <v>44835</v>
      </c>
      <c r="E77" s="117" t="s">
        <v>209</v>
      </c>
      <c r="F77" s="102" t="s">
        <v>146</v>
      </c>
      <c r="G77" s="102" t="s">
        <v>24</v>
      </c>
      <c r="H77" s="102" t="s">
        <v>142</v>
      </c>
      <c r="I77" s="108">
        <v>0</v>
      </c>
      <c r="J77" s="108">
        <v>0</v>
      </c>
      <c r="K77" s="115" t="s">
        <v>26</v>
      </c>
      <c r="L77" s="108">
        <v>0</v>
      </c>
      <c r="M77" s="103"/>
      <c r="N77" s="103">
        <f>J77</f>
        <v>0</v>
      </c>
      <c r="O77" s="118" t="s">
        <v>27</v>
      </c>
      <c r="P77" s="118" t="s">
        <v>27</v>
      </c>
      <c r="Q77" s="102"/>
      <c r="R77" s="120"/>
      <c r="S77" s="106"/>
    </row>
    <row r="78" spans="1:19" s="107" customFormat="1" ht="31.35" hidden="1" customHeight="1" x14ac:dyDescent="0.3">
      <c r="A78" s="102" t="s">
        <v>210</v>
      </c>
      <c r="B78" s="115" t="s">
        <v>211</v>
      </c>
      <c r="C78" s="121" t="s">
        <v>212</v>
      </c>
      <c r="D78" s="116">
        <v>44837</v>
      </c>
      <c r="E78" s="121" t="s">
        <v>209</v>
      </c>
      <c r="F78" s="102" t="s">
        <v>213</v>
      </c>
      <c r="G78" s="110" t="s">
        <v>61</v>
      </c>
      <c r="H78" s="97" t="s">
        <v>47</v>
      </c>
      <c r="I78" s="103">
        <v>281000</v>
      </c>
      <c r="J78" s="103">
        <f>I78*0.12</f>
        <v>33720</v>
      </c>
      <c r="K78" s="98" t="s">
        <v>72</v>
      </c>
      <c r="L78" s="103">
        <f>J78*0.2</f>
        <v>6744</v>
      </c>
      <c r="M78" s="104" t="s">
        <v>27</v>
      </c>
      <c r="N78" s="103">
        <f>J78*0.8</f>
        <v>26976</v>
      </c>
      <c r="O78" s="105" t="s">
        <v>27</v>
      </c>
      <c r="P78" s="105" t="s">
        <v>27</v>
      </c>
      <c r="Q78" s="101">
        <v>44848</v>
      </c>
      <c r="R78" s="106">
        <v>952069</v>
      </c>
      <c r="S78" s="106" t="s">
        <v>209</v>
      </c>
    </row>
    <row r="79" spans="1:19" s="107" customFormat="1" ht="31.35" hidden="1" customHeight="1" x14ac:dyDescent="0.3">
      <c r="A79" s="102" t="s">
        <v>214</v>
      </c>
      <c r="B79" s="115" t="s">
        <v>215</v>
      </c>
      <c r="C79" s="122">
        <v>924301</v>
      </c>
      <c r="D79" s="116">
        <v>44853</v>
      </c>
      <c r="E79" s="121" t="s">
        <v>209</v>
      </c>
      <c r="F79" s="102" t="s">
        <v>71</v>
      </c>
      <c r="G79" s="102" t="s">
        <v>46</v>
      </c>
      <c r="H79" s="97" t="s">
        <v>25</v>
      </c>
      <c r="I79" s="103">
        <v>294983.03000000003</v>
      </c>
      <c r="J79" s="103">
        <f>I79*0.15</f>
        <v>44247.4545</v>
      </c>
      <c r="K79" s="98" t="s">
        <v>72</v>
      </c>
      <c r="L79" s="103">
        <f>J79*0.8</f>
        <v>35397.963600000003</v>
      </c>
      <c r="M79" s="105" t="s">
        <v>27</v>
      </c>
      <c r="N79" s="103">
        <f>J79*0.2</f>
        <v>8849.4909000000007</v>
      </c>
      <c r="O79" s="118" t="s">
        <v>27</v>
      </c>
      <c r="P79" s="118" t="s">
        <v>27</v>
      </c>
      <c r="Q79" s="101">
        <v>44879</v>
      </c>
      <c r="R79" s="123" t="s">
        <v>216</v>
      </c>
      <c r="S79" s="106" t="s">
        <v>217</v>
      </c>
    </row>
    <row r="80" spans="1:19" s="107" customFormat="1" ht="31.35" hidden="1" customHeight="1" x14ac:dyDescent="0.3">
      <c r="A80" s="102" t="s">
        <v>218</v>
      </c>
      <c r="B80" s="98" t="s">
        <v>219</v>
      </c>
      <c r="C80" s="99" t="s">
        <v>220</v>
      </c>
      <c r="D80" s="124" t="s">
        <v>221</v>
      </c>
      <c r="E80" s="121" t="s">
        <v>217</v>
      </c>
      <c r="F80" s="102" t="s">
        <v>71</v>
      </c>
      <c r="G80" s="102" t="s">
        <v>155</v>
      </c>
      <c r="H80" s="97" t="s">
        <v>25</v>
      </c>
      <c r="I80" s="103">
        <v>282212.05</v>
      </c>
      <c r="J80" s="103">
        <f>I80*0.15</f>
        <v>42331.807499999995</v>
      </c>
      <c r="K80" s="98" t="s">
        <v>26</v>
      </c>
      <c r="L80" s="103">
        <v>0</v>
      </c>
      <c r="M80" s="103"/>
      <c r="N80" s="103">
        <f>J80</f>
        <v>42331.807499999995</v>
      </c>
      <c r="O80" s="125" t="s">
        <v>27</v>
      </c>
      <c r="P80" s="125" t="s">
        <v>27</v>
      </c>
      <c r="Q80" s="126">
        <v>44913</v>
      </c>
      <c r="R80" s="102" t="s">
        <v>222</v>
      </c>
      <c r="S80" s="106" t="s">
        <v>223</v>
      </c>
    </row>
    <row r="81" spans="1:19" s="107" customFormat="1" ht="31.35" hidden="1" customHeight="1" x14ac:dyDescent="0.3">
      <c r="A81" s="127" t="s">
        <v>224</v>
      </c>
      <c r="B81" s="98" t="s">
        <v>225</v>
      </c>
      <c r="C81" s="128" t="s">
        <v>226</v>
      </c>
      <c r="D81" s="101" t="s">
        <v>227</v>
      </c>
      <c r="E81" s="101" t="s">
        <v>44</v>
      </c>
      <c r="F81" s="102" t="s">
        <v>71</v>
      </c>
      <c r="G81" s="129" t="s">
        <v>24</v>
      </c>
      <c r="H81" s="130" t="s">
        <v>25</v>
      </c>
      <c r="I81" s="131">
        <v>281346</v>
      </c>
      <c r="J81" s="131">
        <f t="shared" ref="J81:J83" si="1">I81*0.15</f>
        <v>42201.9</v>
      </c>
      <c r="K81" s="132" t="s">
        <v>26</v>
      </c>
      <c r="L81" s="131">
        <v>0</v>
      </c>
      <c r="M81" s="131"/>
      <c r="N81" s="131">
        <f>J81</f>
        <v>42201.9</v>
      </c>
      <c r="O81" s="133" t="s">
        <v>27</v>
      </c>
      <c r="P81" s="133" t="s">
        <v>27</v>
      </c>
      <c r="Q81" s="101">
        <v>44732</v>
      </c>
      <c r="R81" s="106">
        <v>6830</v>
      </c>
      <c r="S81" s="106" t="s">
        <v>119</v>
      </c>
    </row>
    <row r="82" spans="1:19" s="155" customFormat="1" ht="31.35" hidden="1" customHeight="1" x14ac:dyDescent="0.3">
      <c r="A82" s="146" t="s">
        <v>228</v>
      </c>
      <c r="B82" s="147" t="s">
        <v>229</v>
      </c>
      <c r="C82" s="148" t="s">
        <v>230</v>
      </c>
      <c r="D82" s="149" t="s">
        <v>227</v>
      </c>
      <c r="E82" s="149" t="s">
        <v>44</v>
      </c>
      <c r="F82" s="150" t="s">
        <v>71</v>
      </c>
      <c r="G82" s="150" t="s">
        <v>24</v>
      </c>
      <c r="H82" s="146" t="s">
        <v>25</v>
      </c>
      <c r="I82" s="151">
        <v>285892</v>
      </c>
      <c r="J82" s="151">
        <v>42883.67</v>
      </c>
      <c r="K82" s="152" t="s">
        <v>26</v>
      </c>
      <c r="L82" s="151">
        <v>0</v>
      </c>
      <c r="M82" s="151"/>
      <c r="N82" s="151">
        <f>J82</f>
        <v>42883.67</v>
      </c>
      <c r="O82" s="153" t="s">
        <v>27</v>
      </c>
      <c r="P82" s="153" t="s">
        <v>27</v>
      </c>
      <c r="Q82" s="149">
        <v>44732</v>
      </c>
      <c r="R82" s="154">
        <v>6830</v>
      </c>
      <c r="S82" s="154" t="s">
        <v>119</v>
      </c>
    </row>
    <row r="83" spans="1:19" s="155" customFormat="1" ht="31.35" hidden="1" customHeight="1" x14ac:dyDescent="0.3">
      <c r="A83" s="146" t="s">
        <v>231</v>
      </c>
      <c r="B83" s="152" t="s">
        <v>232</v>
      </c>
      <c r="C83" s="148" t="s">
        <v>233</v>
      </c>
      <c r="D83" s="149" t="s">
        <v>227</v>
      </c>
      <c r="E83" s="149" t="s">
        <v>44</v>
      </c>
      <c r="F83" s="150" t="s">
        <v>71</v>
      </c>
      <c r="G83" s="150" t="s">
        <v>24</v>
      </c>
      <c r="H83" s="146" t="s">
        <v>25</v>
      </c>
      <c r="I83" s="151">
        <v>288022</v>
      </c>
      <c r="J83" s="151">
        <f t="shared" si="1"/>
        <v>43203.299999999996</v>
      </c>
      <c r="K83" s="152" t="s">
        <v>26</v>
      </c>
      <c r="L83" s="151">
        <v>0</v>
      </c>
      <c r="M83" s="151"/>
      <c r="N83" s="151">
        <f>J83</f>
        <v>43203.299999999996</v>
      </c>
      <c r="O83" s="153" t="s">
        <v>27</v>
      </c>
      <c r="P83" s="153" t="s">
        <v>27</v>
      </c>
      <c r="Q83" s="149">
        <v>44705</v>
      </c>
      <c r="R83" s="154">
        <v>6541</v>
      </c>
      <c r="S83" s="154" t="s">
        <v>84</v>
      </c>
    </row>
    <row r="84" spans="1:19" s="155" customFormat="1" ht="31.35" hidden="1" customHeight="1" x14ac:dyDescent="0.3">
      <c r="A84" s="156" t="s">
        <v>234</v>
      </c>
      <c r="B84" s="147" t="s">
        <v>235</v>
      </c>
      <c r="C84" s="157" t="s">
        <v>236</v>
      </c>
      <c r="D84" s="157" t="s">
        <v>237</v>
      </c>
      <c r="E84" s="157" t="s">
        <v>73</v>
      </c>
      <c r="F84" s="158" t="s">
        <v>23</v>
      </c>
      <c r="G84" s="158" t="s">
        <v>46</v>
      </c>
      <c r="H84" s="156" t="s">
        <v>25</v>
      </c>
      <c r="I84" s="159">
        <v>97486.14</v>
      </c>
      <c r="J84" s="159">
        <f>I84*0.18</f>
        <v>17547.5052</v>
      </c>
      <c r="K84" s="147" t="s">
        <v>72</v>
      </c>
      <c r="L84" s="159">
        <f>J84*0.8</f>
        <v>14038.00416</v>
      </c>
      <c r="M84" s="160" t="s">
        <v>27</v>
      </c>
      <c r="N84" s="159">
        <f>J84*0.2</f>
        <v>3509.5010400000001</v>
      </c>
      <c r="O84" s="161" t="s">
        <v>27</v>
      </c>
      <c r="P84" s="161" t="s">
        <v>27</v>
      </c>
      <c r="Q84" s="149">
        <v>44800</v>
      </c>
      <c r="R84" s="154">
        <v>7556</v>
      </c>
      <c r="S84" s="154" t="s">
        <v>73</v>
      </c>
    </row>
    <row r="85" spans="1:19" s="155" customFormat="1" ht="31.35" hidden="1" customHeight="1" x14ac:dyDescent="0.3">
      <c r="A85" s="162" t="s">
        <v>238</v>
      </c>
      <c r="B85" s="152" t="s">
        <v>239</v>
      </c>
      <c r="C85" s="148" t="s">
        <v>240</v>
      </c>
      <c r="D85" s="148" t="s">
        <v>241</v>
      </c>
      <c r="E85" s="148" t="s">
        <v>170</v>
      </c>
      <c r="F85" s="150" t="s">
        <v>57</v>
      </c>
      <c r="G85" s="150" t="s">
        <v>24</v>
      </c>
      <c r="H85" s="146" t="s">
        <v>25</v>
      </c>
      <c r="I85" s="151">
        <v>11868.43</v>
      </c>
      <c r="J85" s="163">
        <f>I85*0.15</f>
        <v>1780.2645</v>
      </c>
      <c r="K85" s="164" t="s">
        <v>26</v>
      </c>
      <c r="L85" s="163">
        <v>0</v>
      </c>
      <c r="M85" s="163"/>
      <c r="N85" s="163">
        <f>J85</f>
        <v>1780.2645</v>
      </c>
      <c r="O85" s="165" t="s">
        <v>27</v>
      </c>
      <c r="P85" s="165" t="s">
        <v>27</v>
      </c>
      <c r="Q85" s="149">
        <v>44834</v>
      </c>
      <c r="R85" s="154">
        <v>7985</v>
      </c>
      <c r="S85" s="154" t="s">
        <v>209</v>
      </c>
    </row>
    <row r="86" spans="1:19" s="155" customFormat="1" ht="31.35" hidden="1" customHeight="1" x14ac:dyDescent="0.3">
      <c r="A86" s="146" t="s">
        <v>190</v>
      </c>
      <c r="B86" s="152" t="s">
        <v>242</v>
      </c>
      <c r="C86" s="148" t="s">
        <v>243</v>
      </c>
      <c r="D86" s="148" t="s">
        <v>244</v>
      </c>
      <c r="E86" s="148" t="s">
        <v>73</v>
      </c>
      <c r="F86" s="150" t="s">
        <v>57</v>
      </c>
      <c r="G86" s="150" t="s">
        <v>24</v>
      </c>
      <c r="H86" s="146" t="s">
        <v>25</v>
      </c>
      <c r="I86" s="151">
        <v>17380.5</v>
      </c>
      <c r="J86" s="151">
        <f>I86*0.18</f>
        <v>3128.49</v>
      </c>
      <c r="K86" s="152" t="s">
        <v>26</v>
      </c>
      <c r="L86" s="151">
        <v>0</v>
      </c>
      <c r="M86" s="151"/>
      <c r="N86" s="151">
        <f>J86</f>
        <v>3128.49</v>
      </c>
      <c r="O86" s="153" t="s">
        <v>27</v>
      </c>
      <c r="P86" s="153" t="s">
        <v>27</v>
      </c>
      <c r="Q86" s="149">
        <v>44804</v>
      </c>
      <c r="R86" s="166">
        <v>7633</v>
      </c>
      <c r="S86" s="154" t="s">
        <v>170</v>
      </c>
    </row>
    <row r="87" spans="1:19" s="155" customFormat="1" ht="31.35" hidden="1" customHeight="1" x14ac:dyDescent="0.3">
      <c r="A87" s="150" t="s">
        <v>245</v>
      </c>
      <c r="B87" s="152" t="s">
        <v>246</v>
      </c>
      <c r="C87" s="148" t="s">
        <v>247</v>
      </c>
      <c r="D87" s="148" t="s">
        <v>248</v>
      </c>
      <c r="E87" s="148" t="s">
        <v>209</v>
      </c>
      <c r="F87" s="150" t="s">
        <v>213</v>
      </c>
      <c r="G87" s="150" t="s">
        <v>78</v>
      </c>
      <c r="H87" s="146" t="s">
        <v>47</v>
      </c>
      <c r="I87" s="151">
        <v>299800</v>
      </c>
      <c r="J87" s="151">
        <f>I87*0.12</f>
        <v>35976</v>
      </c>
      <c r="K87" s="152" t="s">
        <v>72</v>
      </c>
      <c r="L87" s="151">
        <f>J87*0.2</f>
        <v>7195.2000000000007</v>
      </c>
      <c r="M87" s="167" t="s">
        <v>27</v>
      </c>
      <c r="N87" s="151">
        <f>J87*0.8</f>
        <v>28780.800000000003</v>
      </c>
      <c r="O87" s="153" t="s">
        <v>27</v>
      </c>
      <c r="P87" s="153" t="s">
        <v>27</v>
      </c>
      <c r="Q87" s="149">
        <v>44848</v>
      </c>
      <c r="R87" s="154">
        <v>952069</v>
      </c>
      <c r="S87" s="154" t="s">
        <v>209</v>
      </c>
    </row>
    <row r="88" spans="1:19" s="155" customFormat="1" ht="31.35" hidden="1" customHeight="1" x14ac:dyDescent="0.3">
      <c r="A88" s="150" t="s">
        <v>249</v>
      </c>
      <c r="B88" s="168" t="s">
        <v>250</v>
      </c>
      <c r="C88" s="148" t="s">
        <v>251</v>
      </c>
      <c r="D88" s="148" t="s">
        <v>248</v>
      </c>
      <c r="E88" s="148" t="s">
        <v>209</v>
      </c>
      <c r="F88" s="150" t="s">
        <v>57</v>
      </c>
      <c r="G88" s="150" t="s">
        <v>78</v>
      </c>
      <c r="H88" s="146" t="s">
        <v>47</v>
      </c>
      <c r="I88" s="151">
        <v>679524.38</v>
      </c>
      <c r="J88" s="151">
        <f>I88*0.15</f>
        <v>101928.65699999999</v>
      </c>
      <c r="K88" s="152" t="s">
        <v>79</v>
      </c>
      <c r="L88" s="151">
        <f>J88*0.5</f>
        <v>50964.328499999996</v>
      </c>
      <c r="M88" s="153" t="s">
        <v>27</v>
      </c>
      <c r="N88" s="151">
        <f>J88*0.5</f>
        <v>50964.328499999996</v>
      </c>
      <c r="O88" s="153" t="s">
        <v>27</v>
      </c>
      <c r="P88" s="153" t="s">
        <v>27</v>
      </c>
      <c r="Q88" s="149">
        <v>44848</v>
      </c>
      <c r="R88" s="154">
        <v>952069</v>
      </c>
      <c r="S88" s="154" t="s">
        <v>209</v>
      </c>
    </row>
    <row r="89" spans="1:19" s="155" customFormat="1" ht="31.35" hidden="1" customHeight="1" x14ac:dyDescent="0.3">
      <c r="A89" s="150" t="s">
        <v>249</v>
      </c>
      <c r="B89" s="168" t="s">
        <v>250</v>
      </c>
      <c r="C89" s="148" t="s">
        <v>252</v>
      </c>
      <c r="D89" s="148" t="s">
        <v>248</v>
      </c>
      <c r="E89" s="148" t="s">
        <v>209</v>
      </c>
      <c r="F89" s="150" t="s">
        <v>213</v>
      </c>
      <c r="G89" s="150" t="s">
        <v>78</v>
      </c>
      <c r="H89" s="146" t="s">
        <v>47</v>
      </c>
      <c r="I89" s="151">
        <v>321000</v>
      </c>
      <c r="J89" s="151">
        <f>I89*0.12</f>
        <v>38520</v>
      </c>
      <c r="K89" s="152" t="s">
        <v>72</v>
      </c>
      <c r="L89" s="151">
        <f>J89*0.2</f>
        <v>7704</v>
      </c>
      <c r="M89" s="153" t="s">
        <v>27</v>
      </c>
      <c r="N89" s="151">
        <f>J89*0.8</f>
        <v>30816</v>
      </c>
      <c r="O89" s="153" t="s">
        <v>27</v>
      </c>
      <c r="P89" s="153" t="s">
        <v>27</v>
      </c>
      <c r="Q89" s="149">
        <v>44848</v>
      </c>
      <c r="R89" s="154">
        <v>952069</v>
      </c>
      <c r="S89" s="154" t="s">
        <v>209</v>
      </c>
    </row>
    <row r="90" spans="1:19" s="155" customFormat="1" ht="31.35" hidden="1" customHeight="1" x14ac:dyDescent="0.3">
      <c r="A90" s="150" t="s">
        <v>93</v>
      </c>
      <c r="B90" s="168" t="s">
        <v>253</v>
      </c>
      <c r="C90" s="148" t="s">
        <v>254</v>
      </c>
      <c r="D90" s="148" t="s">
        <v>255</v>
      </c>
      <c r="E90" s="148" t="s">
        <v>209</v>
      </c>
      <c r="F90" s="150" t="s">
        <v>23</v>
      </c>
      <c r="G90" s="150" t="s">
        <v>24</v>
      </c>
      <c r="H90" s="146" t="s">
        <v>25</v>
      </c>
      <c r="I90" s="151">
        <v>39285.72</v>
      </c>
      <c r="J90" s="151">
        <f>I90*0.18</f>
        <v>7071.4296000000004</v>
      </c>
      <c r="K90" s="152" t="s">
        <v>256</v>
      </c>
      <c r="L90" s="151">
        <v>0</v>
      </c>
      <c r="M90" s="151"/>
      <c r="N90" s="151">
        <f>J90</f>
        <v>7071.4296000000004</v>
      </c>
      <c r="O90" s="153" t="s">
        <v>27</v>
      </c>
      <c r="P90" s="153" t="s">
        <v>27</v>
      </c>
      <c r="Q90" s="149">
        <v>44865</v>
      </c>
      <c r="R90" s="155" t="s">
        <v>257</v>
      </c>
      <c r="S90" s="154" t="s">
        <v>217</v>
      </c>
    </row>
    <row r="91" spans="1:19" s="155" customFormat="1" ht="31.35" hidden="1" customHeight="1" x14ac:dyDescent="0.3">
      <c r="A91" s="150" t="s">
        <v>245</v>
      </c>
      <c r="B91" s="152" t="s">
        <v>246</v>
      </c>
      <c r="C91" s="148" t="s">
        <v>258</v>
      </c>
      <c r="D91" s="148" t="s">
        <v>259</v>
      </c>
      <c r="E91" s="148" t="s">
        <v>209</v>
      </c>
      <c r="F91" s="150" t="s">
        <v>57</v>
      </c>
      <c r="G91" s="150" t="s">
        <v>78</v>
      </c>
      <c r="H91" s="146" t="s">
        <v>47</v>
      </c>
      <c r="I91" s="151">
        <v>2246283.4</v>
      </c>
      <c r="J91" s="151">
        <f>I91*0.15</f>
        <v>336942.50999999995</v>
      </c>
      <c r="K91" s="152" t="s">
        <v>79</v>
      </c>
      <c r="L91" s="151">
        <f>J91*0.5</f>
        <v>168471.25499999998</v>
      </c>
      <c r="M91" s="169" t="s">
        <v>27</v>
      </c>
      <c r="N91" s="151">
        <f>J91*0.5</f>
        <v>168471.25499999998</v>
      </c>
      <c r="O91" s="153" t="s">
        <v>27</v>
      </c>
      <c r="P91" s="153" t="s">
        <v>27</v>
      </c>
      <c r="Q91" s="149">
        <v>44848</v>
      </c>
      <c r="R91" s="154">
        <v>952069</v>
      </c>
      <c r="S91" s="154" t="s">
        <v>209</v>
      </c>
    </row>
    <row r="92" spans="1:19" s="155" customFormat="1" ht="31.35" hidden="1" customHeight="1" x14ac:dyDescent="0.3">
      <c r="A92" s="150" t="s">
        <v>210</v>
      </c>
      <c r="B92" s="168" t="s">
        <v>211</v>
      </c>
      <c r="C92" s="148" t="s">
        <v>260</v>
      </c>
      <c r="D92" s="148" t="s">
        <v>259</v>
      </c>
      <c r="E92" s="148" t="s">
        <v>209</v>
      </c>
      <c r="F92" s="150" t="s">
        <v>57</v>
      </c>
      <c r="G92" s="150" t="s">
        <v>61</v>
      </c>
      <c r="H92" s="146" t="s">
        <v>47</v>
      </c>
      <c r="I92" s="151">
        <v>358164.43</v>
      </c>
      <c r="J92" s="151">
        <f>I92*0.15</f>
        <v>53724.664499999999</v>
      </c>
      <c r="K92" s="152" t="s">
        <v>68</v>
      </c>
      <c r="L92" s="151">
        <f>J92*0.4</f>
        <v>21489.8658</v>
      </c>
      <c r="M92" s="153" t="s">
        <v>27</v>
      </c>
      <c r="N92" s="151">
        <f>J92*0.6</f>
        <v>32234.798699999999</v>
      </c>
      <c r="O92" s="153" t="s">
        <v>27</v>
      </c>
      <c r="P92" s="153" t="s">
        <v>27</v>
      </c>
      <c r="Q92" s="149">
        <v>44848</v>
      </c>
      <c r="R92" s="154">
        <v>952069</v>
      </c>
      <c r="S92" s="154" t="s">
        <v>209</v>
      </c>
    </row>
    <row r="93" spans="1:19" s="155" customFormat="1" ht="31.35" hidden="1" customHeight="1" x14ac:dyDescent="0.3">
      <c r="A93" s="146" t="s">
        <v>218</v>
      </c>
      <c r="B93" s="152" t="s">
        <v>219</v>
      </c>
      <c r="C93" s="148" t="s">
        <v>261</v>
      </c>
      <c r="D93" s="148" t="s">
        <v>262</v>
      </c>
      <c r="E93" s="148" t="s">
        <v>73</v>
      </c>
      <c r="F93" s="150" t="s">
        <v>57</v>
      </c>
      <c r="G93" s="150" t="s">
        <v>24</v>
      </c>
      <c r="H93" s="146" t="s">
        <v>25</v>
      </c>
      <c r="I93" s="151">
        <v>3834262.15</v>
      </c>
      <c r="J93" s="151">
        <f>I93*0.15</f>
        <v>575139.32250000001</v>
      </c>
      <c r="K93" s="152" t="s">
        <v>26</v>
      </c>
      <c r="L93" s="151">
        <v>0</v>
      </c>
      <c r="M93" s="151"/>
      <c r="N93" s="151">
        <f>J93</f>
        <v>575139.32250000001</v>
      </c>
      <c r="O93" s="153" t="s">
        <v>27</v>
      </c>
      <c r="P93" s="153" t="s">
        <v>27</v>
      </c>
      <c r="Q93" s="149">
        <v>44844</v>
      </c>
      <c r="R93" s="150" t="s">
        <v>263</v>
      </c>
      <c r="S93" s="154" t="s">
        <v>209</v>
      </c>
    </row>
    <row r="94" spans="1:19" s="155" customFormat="1" ht="31.35" hidden="1" customHeight="1" x14ac:dyDescent="0.3">
      <c r="A94" s="146" t="s">
        <v>218</v>
      </c>
      <c r="B94" s="152" t="s">
        <v>219</v>
      </c>
      <c r="C94" s="148" t="s">
        <v>264</v>
      </c>
      <c r="D94" s="148" t="s">
        <v>262</v>
      </c>
      <c r="E94" s="148" t="s">
        <v>73</v>
      </c>
      <c r="F94" s="150" t="s">
        <v>265</v>
      </c>
      <c r="G94" s="150" t="s">
        <v>24</v>
      </c>
      <c r="H94" s="146" t="s">
        <v>25</v>
      </c>
      <c r="I94" s="151">
        <v>33121.18</v>
      </c>
      <c r="J94" s="151">
        <f>I94*0.15</f>
        <v>4968.1769999999997</v>
      </c>
      <c r="K94" s="152" t="s">
        <v>26</v>
      </c>
      <c r="L94" s="151">
        <v>0</v>
      </c>
      <c r="M94" s="151"/>
      <c r="N94" s="151">
        <f>J94</f>
        <v>4968.1769999999997</v>
      </c>
      <c r="O94" s="153" t="s">
        <v>27</v>
      </c>
      <c r="P94" s="153" t="s">
        <v>27</v>
      </c>
      <c r="Q94" s="149">
        <v>44844</v>
      </c>
      <c r="R94" s="150" t="s">
        <v>263</v>
      </c>
      <c r="S94" s="154" t="s">
        <v>209</v>
      </c>
    </row>
    <row r="95" spans="1:19" s="155" customFormat="1" ht="31.35" hidden="1" customHeight="1" x14ac:dyDescent="0.3">
      <c r="A95" s="170" t="s">
        <v>199</v>
      </c>
      <c r="B95" s="214" t="s">
        <v>200</v>
      </c>
      <c r="C95" s="157" t="s">
        <v>266</v>
      </c>
      <c r="D95" s="171" t="s">
        <v>267</v>
      </c>
      <c r="E95" s="149" t="s">
        <v>119</v>
      </c>
      <c r="F95" s="158" t="s">
        <v>57</v>
      </c>
      <c r="G95" s="150" t="s">
        <v>118</v>
      </c>
      <c r="H95" s="172" t="s">
        <v>25</v>
      </c>
      <c r="I95" s="159">
        <v>746400</v>
      </c>
      <c r="J95" s="159">
        <f>I95*0.18</f>
        <v>134352</v>
      </c>
      <c r="K95" s="147" t="s">
        <v>79</v>
      </c>
      <c r="L95" s="159">
        <f>J95*0.5</f>
        <v>67176</v>
      </c>
      <c r="M95" s="173" t="s">
        <v>27</v>
      </c>
      <c r="N95" s="159">
        <f>J95*0.5</f>
        <v>67176</v>
      </c>
      <c r="O95" s="161" t="s">
        <v>27</v>
      </c>
      <c r="P95" s="161" t="s">
        <v>27</v>
      </c>
      <c r="Q95" s="149">
        <v>44732</v>
      </c>
      <c r="R95" s="154">
        <v>6830</v>
      </c>
      <c r="S95" s="154" t="s">
        <v>119</v>
      </c>
    </row>
    <row r="96" spans="1:19" s="107" customFormat="1" ht="31.35" hidden="1" customHeight="1" x14ac:dyDescent="0.3">
      <c r="A96" s="140" t="s">
        <v>268</v>
      </c>
      <c r="B96" s="98" t="s">
        <v>269</v>
      </c>
      <c r="C96" s="111" t="s">
        <v>270</v>
      </c>
      <c r="D96" s="111" t="s">
        <v>271</v>
      </c>
      <c r="E96" s="111" t="s">
        <v>73</v>
      </c>
      <c r="F96" s="102" t="s">
        <v>57</v>
      </c>
      <c r="G96" s="129" t="s">
        <v>46</v>
      </c>
      <c r="H96" s="130" t="s">
        <v>272</v>
      </c>
      <c r="I96" s="103">
        <v>1500348</v>
      </c>
      <c r="J96" s="103">
        <f>I96*0.12</f>
        <v>180041.75999999998</v>
      </c>
      <c r="K96" s="98" t="s">
        <v>72</v>
      </c>
      <c r="L96" s="103">
        <f>J96*0.8</f>
        <v>144033.408</v>
      </c>
      <c r="M96" s="104" t="s">
        <v>27</v>
      </c>
      <c r="N96" s="103">
        <f>J96*0.2</f>
        <v>36008.351999999999</v>
      </c>
      <c r="O96" s="105" t="s">
        <v>27</v>
      </c>
      <c r="P96" s="105" t="s">
        <v>27</v>
      </c>
      <c r="Q96" s="101">
        <v>44781</v>
      </c>
      <c r="R96" s="106">
        <v>7354</v>
      </c>
      <c r="S96" s="106" t="s">
        <v>73</v>
      </c>
    </row>
    <row r="97" spans="1:19" s="107" customFormat="1" ht="31.35" hidden="1" customHeight="1" x14ac:dyDescent="0.3">
      <c r="A97" s="140" t="s">
        <v>199</v>
      </c>
      <c r="B97" s="98" t="s">
        <v>200</v>
      </c>
      <c r="C97" s="99" t="s">
        <v>273</v>
      </c>
      <c r="D97" s="99" t="s">
        <v>274</v>
      </c>
      <c r="E97" s="99" t="s">
        <v>144</v>
      </c>
      <c r="F97" s="102" t="s">
        <v>275</v>
      </c>
      <c r="G97" s="129" t="s">
        <v>24</v>
      </c>
      <c r="H97" s="130" t="s">
        <v>25</v>
      </c>
      <c r="I97" s="103">
        <v>25000</v>
      </c>
      <c r="J97" s="131">
        <f>I97*0.18</f>
        <v>4500</v>
      </c>
      <c r="K97" s="132" t="s">
        <v>26</v>
      </c>
      <c r="L97" s="131">
        <f>0</f>
        <v>0</v>
      </c>
      <c r="M97" s="131"/>
      <c r="N97" s="131">
        <f>J97</f>
        <v>4500</v>
      </c>
      <c r="O97" s="133" t="s">
        <v>27</v>
      </c>
      <c r="P97" s="133" t="s">
        <v>27</v>
      </c>
      <c r="Q97" s="101">
        <v>44781</v>
      </c>
      <c r="R97" s="106">
        <v>7354</v>
      </c>
      <c r="S97" s="106" t="s">
        <v>73</v>
      </c>
    </row>
    <row r="98" spans="1:19" s="107" customFormat="1" ht="31.35" hidden="1" customHeight="1" x14ac:dyDescent="0.3">
      <c r="A98" s="97" t="s">
        <v>276</v>
      </c>
      <c r="B98" s="98" t="s">
        <v>277</v>
      </c>
      <c r="C98" s="99" t="s">
        <v>278</v>
      </c>
      <c r="D98" s="99" t="s">
        <v>279</v>
      </c>
      <c r="E98" s="99" t="s">
        <v>73</v>
      </c>
      <c r="F98" s="102" t="s">
        <v>57</v>
      </c>
      <c r="G98" s="102" t="s">
        <v>78</v>
      </c>
      <c r="H98" s="97" t="s">
        <v>47</v>
      </c>
      <c r="I98" s="142">
        <v>5949421.1399999997</v>
      </c>
      <c r="J98" s="103">
        <f>I98*0.15</f>
        <v>892413.17099999997</v>
      </c>
      <c r="K98" s="98" t="s">
        <v>79</v>
      </c>
      <c r="L98" s="103">
        <f>J98*0.5</f>
        <v>446206.58549999999</v>
      </c>
      <c r="M98" s="104" t="s">
        <v>27</v>
      </c>
      <c r="N98" s="103">
        <f>J98*0.5</f>
        <v>446206.58549999999</v>
      </c>
      <c r="O98" s="105" t="s">
        <v>27</v>
      </c>
      <c r="P98" s="105" t="s">
        <v>27</v>
      </c>
      <c r="Q98" s="101">
        <v>44810</v>
      </c>
      <c r="R98" s="106">
        <v>938370</v>
      </c>
      <c r="S98" s="106" t="s">
        <v>170</v>
      </c>
    </row>
    <row r="99" spans="1:19" s="107" customFormat="1" ht="31.35" hidden="1" customHeight="1" x14ac:dyDescent="0.3">
      <c r="A99" s="97" t="s">
        <v>276</v>
      </c>
      <c r="B99" s="98" t="s">
        <v>277</v>
      </c>
      <c r="C99" s="99" t="s">
        <v>280</v>
      </c>
      <c r="D99" s="99" t="s">
        <v>279</v>
      </c>
      <c r="E99" s="99" t="s">
        <v>73</v>
      </c>
      <c r="F99" s="102" t="s">
        <v>281</v>
      </c>
      <c r="G99" s="102" t="s">
        <v>35</v>
      </c>
      <c r="H99" s="97" t="s">
        <v>47</v>
      </c>
      <c r="I99" s="103">
        <v>350000.01</v>
      </c>
      <c r="J99" s="103">
        <f>I99*0.12</f>
        <v>42000.001199999999</v>
      </c>
      <c r="K99" s="98" t="s">
        <v>72</v>
      </c>
      <c r="L99" s="103">
        <f>J99*0.2</f>
        <v>8400.0002399999994</v>
      </c>
      <c r="M99" s="104" t="s">
        <v>27</v>
      </c>
      <c r="N99" s="103">
        <f>J99*0.8</f>
        <v>33600.000959999998</v>
      </c>
      <c r="O99" s="105" t="s">
        <v>27</v>
      </c>
      <c r="P99" s="105" t="s">
        <v>27</v>
      </c>
      <c r="Q99" s="101">
        <v>44810</v>
      </c>
      <c r="R99" s="106">
        <v>938370</v>
      </c>
      <c r="S99" s="106" t="s">
        <v>170</v>
      </c>
    </row>
    <row r="100" spans="1:19" s="107" customFormat="1" ht="31.35" hidden="1" customHeight="1" x14ac:dyDescent="0.3">
      <c r="A100" s="97" t="s">
        <v>282</v>
      </c>
      <c r="B100" s="98" t="s">
        <v>283</v>
      </c>
      <c r="C100" s="99" t="s">
        <v>284</v>
      </c>
      <c r="D100" s="99" t="s">
        <v>285</v>
      </c>
      <c r="E100" s="99" t="s">
        <v>144</v>
      </c>
      <c r="F100" s="102" t="s">
        <v>57</v>
      </c>
      <c r="G100" s="102" t="s">
        <v>67</v>
      </c>
      <c r="H100" s="97" t="s">
        <v>47</v>
      </c>
      <c r="I100" s="103">
        <v>373586.51</v>
      </c>
      <c r="J100" s="143">
        <v>56037.976499999997</v>
      </c>
      <c r="K100" s="98" t="s">
        <v>68</v>
      </c>
      <c r="L100" s="143">
        <v>22415.21</v>
      </c>
      <c r="M100" s="104" t="s">
        <v>27</v>
      </c>
      <c r="N100" s="103">
        <v>33622.785899999995</v>
      </c>
      <c r="O100" s="105" t="s">
        <v>27</v>
      </c>
      <c r="P100" s="105" t="s">
        <v>27</v>
      </c>
      <c r="Q100" s="101">
        <v>44777</v>
      </c>
      <c r="R100" s="106">
        <v>925735</v>
      </c>
      <c r="S100" s="106" t="s">
        <v>73</v>
      </c>
    </row>
    <row r="101" spans="1:19" s="107" customFormat="1" ht="31.35" hidden="1" customHeight="1" x14ac:dyDescent="0.3">
      <c r="A101" s="135" t="s">
        <v>282</v>
      </c>
      <c r="B101" s="134" t="s">
        <v>283</v>
      </c>
      <c r="C101" s="136" t="s">
        <v>286</v>
      </c>
      <c r="D101" s="136" t="s">
        <v>285</v>
      </c>
      <c r="E101" s="136" t="s">
        <v>144</v>
      </c>
      <c r="F101" s="137" t="s">
        <v>281</v>
      </c>
      <c r="G101" s="137" t="s">
        <v>35</v>
      </c>
      <c r="H101" s="135" t="s">
        <v>47</v>
      </c>
      <c r="I101" s="138">
        <v>281000</v>
      </c>
      <c r="J101" s="138">
        <v>33720.019999999997</v>
      </c>
      <c r="K101" s="134" t="s">
        <v>72</v>
      </c>
      <c r="L101" s="138">
        <v>6744</v>
      </c>
      <c r="M101" s="139" t="s">
        <v>27</v>
      </c>
      <c r="N101" s="138">
        <v>26976</v>
      </c>
      <c r="O101" s="125" t="s">
        <v>27</v>
      </c>
      <c r="P101" s="125" t="s">
        <v>27</v>
      </c>
      <c r="Q101" s="101">
        <v>44777</v>
      </c>
      <c r="R101" s="106">
        <v>925735</v>
      </c>
      <c r="S101" s="106" t="s">
        <v>73</v>
      </c>
    </row>
    <row r="102" spans="1:19" s="107" customFormat="1" ht="31.35" hidden="1" customHeight="1" x14ac:dyDescent="0.3">
      <c r="A102" s="97" t="s">
        <v>282</v>
      </c>
      <c r="B102" s="98" t="s">
        <v>287</v>
      </c>
      <c r="C102" s="99" t="s">
        <v>288</v>
      </c>
      <c r="D102" s="99" t="s">
        <v>285</v>
      </c>
      <c r="E102" s="99" t="s">
        <v>144</v>
      </c>
      <c r="F102" s="102" t="s">
        <v>57</v>
      </c>
      <c r="G102" s="102" t="s">
        <v>67</v>
      </c>
      <c r="H102" s="97" t="s">
        <v>47</v>
      </c>
      <c r="I102" s="103">
        <v>786076.69</v>
      </c>
      <c r="J102" s="103">
        <f>I102*0.15</f>
        <v>117911.50349999999</v>
      </c>
      <c r="K102" s="98" t="s">
        <v>68</v>
      </c>
      <c r="L102" s="103">
        <f>J102*0.4</f>
        <v>47164.6014</v>
      </c>
      <c r="M102" s="144" t="s">
        <v>27</v>
      </c>
      <c r="N102" s="103">
        <f>J102*0.6</f>
        <v>70746.902099999992</v>
      </c>
      <c r="O102" s="105" t="s">
        <v>27</v>
      </c>
      <c r="P102" s="105" t="s">
        <v>27</v>
      </c>
      <c r="Q102" s="101">
        <v>44777</v>
      </c>
      <c r="R102" s="106">
        <v>925735</v>
      </c>
      <c r="S102" s="106" t="s">
        <v>73</v>
      </c>
    </row>
    <row r="103" spans="1:19" s="107" customFormat="1" ht="31.35" hidden="1" customHeight="1" x14ac:dyDescent="0.3">
      <c r="A103" s="97" t="s">
        <v>282</v>
      </c>
      <c r="B103" s="98" t="s">
        <v>287</v>
      </c>
      <c r="C103" s="99" t="s">
        <v>289</v>
      </c>
      <c r="D103" s="99" t="s">
        <v>285</v>
      </c>
      <c r="E103" s="99" t="s">
        <v>144</v>
      </c>
      <c r="F103" s="102" t="s">
        <v>281</v>
      </c>
      <c r="G103" s="102" t="s">
        <v>35</v>
      </c>
      <c r="H103" s="97" t="s">
        <v>47</v>
      </c>
      <c r="I103" s="103">
        <v>281000</v>
      </c>
      <c r="J103" s="103">
        <f>I103*0.12</f>
        <v>33720</v>
      </c>
      <c r="K103" s="98" t="s">
        <v>72</v>
      </c>
      <c r="L103" s="103">
        <f>J103*0.2</f>
        <v>6744</v>
      </c>
      <c r="M103" s="144" t="s">
        <v>27</v>
      </c>
      <c r="N103" s="103">
        <f>J103*0.8</f>
        <v>26976</v>
      </c>
      <c r="O103" s="105" t="s">
        <v>27</v>
      </c>
      <c r="P103" s="105" t="s">
        <v>27</v>
      </c>
      <c r="Q103" s="101">
        <v>44777</v>
      </c>
      <c r="R103" s="106">
        <v>925735</v>
      </c>
      <c r="S103" s="106" t="s">
        <v>73</v>
      </c>
    </row>
    <row r="104" spans="1:19" s="107" customFormat="1" ht="31.35" hidden="1" customHeight="1" x14ac:dyDescent="0.3">
      <c r="A104" s="97" t="s">
        <v>282</v>
      </c>
      <c r="B104" s="98" t="s">
        <v>290</v>
      </c>
      <c r="C104" s="99" t="s">
        <v>291</v>
      </c>
      <c r="D104" s="99" t="s">
        <v>285</v>
      </c>
      <c r="E104" s="99" t="s">
        <v>144</v>
      </c>
      <c r="F104" s="102" t="s">
        <v>57</v>
      </c>
      <c r="G104" s="102" t="s">
        <v>67</v>
      </c>
      <c r="H104" s="97" t="s">
        <v>47</v>
      </c>
      <c r="I104" s="103">
        <v>693877.16</v>
      </c>
      <c r="J104" s="103">
        <f>I104*0.15</f>
        <v>104081.57400000001</v>
      </c>
      <c r="K104" s="98" t="s">
        <v>68</v>
      </c>
      <c r="L104" s="103">
        <f>J104*0.4</f>
        <v>41632.629600000007</v>
      </c>
      <c r="M104" s="144" t="s">
        <v>27</v>
      </c>
      <c r="N104" s="103">
        <f>J104*0.6</f>
        <v>62448.9444</v>
      </c>
      <c r="O104" s="105" t="s">
        <v>27</v>
      </c>
      <c r="P104" s="105" t="s">
        <v>27</v>
      </c>
      <c r="Q104" s="101">
        <v>44777</v>
      </c>
      <c r="R104" s="106">
        <v>925735</v>
      </c>
      <c r="S104" s="106" t="s">
        <v>73</v>
      </c>
    </row>
    <row r="105" spans="1:19" s="107" customFormat="1" ht="31.35" hidden="1" customHeight="1" x14ac:dyDescent="0.3">
      <c r="A105" s="97" t="s">
        <v>282</v>
      </c>
      <c r="B105" s="98" t="s">
        <v>290</v>
      </c>
      <c r="C105" s="99" t="s">
        <v>292</v>
      </c>
      <c r="D105" s="99" t="s">
        <v>285</v>
      </c>
      <c r="E105" s="99" t="s">
        <v>144</v>
      </c>
      <c r="F105" s="102" t="s">
        <v>281</v>
      </c>
      <c r="G105" s="102" t="s">
        <v>35</v>
      </c>
      <c r="H105" s="97" t="s">
        <v>47</v>
      </c>
      <c r="I105" s="103">
        <v>281000</v>
      </c>
      <c r="J105" s="103">
        <f>I105*0.12</f>
        <v>33720</v>
      </c>
      <c r="K105" s="98" t="s">
        <v>72</v>
      </c>
      <c r="L105" s="103">
        <f>J105*0.2</f>
        <v>6744</v>
      </c>
      <c r="M105" s="144" t="s">
        <v>27</v>
      </c>
      <c r="N105" s="103">
        <f>J105*0.8</f>
        <v>26976</v>
      </c>
      <c r="O105" s="105" t="s">
        <v>27</v>
      </c>
      <c r="P105" s="105" t="s">
        <v>27</v>
      </c>
      <c r="Q105" s="101">
        <v>44777</v>
      </c>
      <c r="R105" s="106">
        <v>925735</v>
      </c>
      <c r="S105" s="106" t="s">
        <v>73</v>
      </c>
    </row>
    <row r="106" spans="1:19" s="107" customFormat="1" ht="31.35" hidden="1" customHeight="1" x14ac:dyDescent="0.3">
      <c r="A106" s="97" t="s">
        <v>293</v>
      </c>
      <c r="B106" s="98" t="s">
        <v>294</v>
      </c>
      <c r="C106" s="99" t="s">
        <v>295</v>
      </c>
      <c r="D106" s="99" t="s">
        <v>285</v>
      </c>
      <c r="E106" s="99" t="s">
        <v>144</v>
      </c>
      <c r="F106" s="102" t="s">
        <v>57</v>
      </c>
      <c r="G106" s="102" t="s">
        <v>67</v>
      </c>
      <c r="H106" s="97" t="s">
        <v>47</v>
      </c>
      <c r="I106" s="103">
        <v>1699863.04</v>
      </c>
      <c r="J106" s="131">
        <f>I106*0.15</f>
        <v>254979.45600000001</v>
      </c>
      <c r="K106" s="132" t="s">
        <v>68</v>
      </c>
      <c r="L106" s="131">
        <f>J106*0.4</f>
        <v>101991.78240000001</v>
      </c>
      <c r="M106" s="144" t="s">
        <v>27</v>
      </c>
      <c r="N106" s="131">
        <f>J106*0.6</f>
        <v>152987.67360000001</v>
      </c>
      <c r="O106" s="133" t="s">
        <v>27</v>
      </c>
      <c r="P106" s="133" t="s">
        <v>27</v>
      </c>
      <c r="Q106" s="101">
        <v>44768</v>
      </c>
      <c r="R106" s="106">
        <v>914383</v>
      </c>
      <c r="S106" s="106" t="s">
        <v>144</v>
      </c>
    </row>
    <row r="107" spans="1:19" s="107" customFormat="1" ht="31.35" hidden="1" customHeight="1" x14ac:dyDescent="0.3">
      <c r="A107" s="97" t="s">
        <v>293</v>
      </c>
      <c r="B107" s="98" t="s">
        <v>294</v>
      </c>
      <c r="C107" s="99" t="s">
        <v>296</v>
      </c>
      <c r="D107" s="99" t="s">
        <v>285</v>
      </c>
      <c r="E107" s="99" t="s">
        <v>144</v>
      </c>
      <c r="F107" s="102" t="s">
        <v>213</v>
      </c>
      <c r="G107" s="102" t="s">
        <v>35</v>
      </c>
      <c r="H107" s="97" t="s">
        <v>47</v>
      </c>
      <c r="I107" s="103">
        <v>281000</v>
      </c>
      <c r="J107" s="103">
        <f>I107*0.12</f>
        <v>33720</v>
      </c>
      <c r="K107" s="98" t="s">
        <v>72</v>
      </c>
      <c r="L107" s="103">
        <f>J107*0.2</f>
        <v>6744</v>
      </c>
      <c r="M107" s="104" t="s">
        <v>27</v>
      </c>
      <c r="N107" s="103">
        <f>J107*0.8</f>
        <v>26976</v>
      </c>
      <c r="O107" s="105" t="s">
        <v>27</v>
      </c>
      <c r="P107" s="105" t="s">
        <v>27</v>
      </c>
      <c r="Q107" s="101">
        <v>44768</v>
      </c>
      <c r="R107" s="106">
        <v>914383</v>
      </c>
      <c r="S107" s="106" t="s">
        <v>144</v>
      </c>
    </row>
    <row r="108" spans="1:19" s="107" customFormat="1" ht="31.35" hidden="1" customHeight="1" x14ac:dyDescent="0.3">
      <c r="A108" s="97" t="s">
        <v>297</v>
      </c>
      <c r="B108" s="98" t="s">
        <v>298</v>
      </c>
      <c r="C108" s="99" t="s">
        <v>299</v>
      </c>
      <c r="D108" s="99" t="s">
        <v>300</v>
      </c>
      <c r="E108" s="99" t="s">
        <v>170</v>
      </c>
      <c r="F108" s="102" t="s">
        <v>57</v>
      </c>
      <c r="G108" s="102" t="s">
        <v>46</v>
      </c>
      <c r="H108" s="97" t="s">
        <v>25</v>
      </c>
      <c r="I108" s="103">
        <v>973918.76</v>
      </c>
      <c r="J108" s="103">
        <f>I108*0.15</f>
        <v>146087.81399999998</v>
      </c>
      <c r="K108" s="98" t="s">
        <v>72</v>
      </c>
      <c r="L108" s="103">
        <f>J108*0.8</f>
        <v>116870.2512</v>
      </c>
      <c r="M108" s="141" t="s">
        <v>27</v>
      </c>
      <c r="N108" s="103">
        <f>J108*0.2</f>
        <v>29217.5628</v>
      </c>
      <c r="O108" s="105" t="s">
        <v>27</v>
      </c>
      <c r="P108" s="105" t="s">
        <v>27</v>
      </c>
      <c r="Q108" s="101">
        <v>44834</v>
      </c>
      <c r="R108" s="106">
        <v>7985</v>
      </c>
      <c r="S108" s="106" t="s">
        <v>209</v>
      </c>
    </row>
    <row r="109" spans="1:19" s="107" customFormat="1" ht="31.35" hidden="1" customHeight="1" x14ac:dyDescent="0.3">
      <c r="A109" s="135" t="s">
        <v>75</v>
      </c>
      <c r="B109" s="134" t="s">
        <v>301</v>
      </c>
      <c r="C109" s="136" t="s">
        <v>302</v>
      </c>
      <c r="D109" s="136" t="s">
        <v>303</v>
      </c>
      <c r="E109" s="136" t="s">
        <v>170</v>
      </c>
      <c r="F109" s="137" t="s">
        <v>213</v>
      </c>
      <c r="G109" s="137" t="s">
        <v>35</v>
      </c>
      <c r="H109" s="135" t="s">
        <v>47</v>
      </c>
      <c r="I109" s="138">
        <v>299800.01</v>
      </c>
      <c r="J109" s="138">
        <f>I109*0.12</f>
        <v>35976.001199999999</v>
      </c>
      <c r="K109" s="134" t="s">
        <v>72</v>
      </c>
      <c r="L109" s="138">
        <f>J109*0.2</f>
        <v>7195.2002400000001</v>
      </c>
      <c r="M109" s="141" t="s">
        <v>27</v>
      </c>
      <c r="N109" s="138">
        <f>J109*0.8</f>
        <v>28780.80096</v>
      </c>
      <c r="O109" s="125" t="s">
        <v>27</v>
      </c>
      <c r="P109" s="125" t="s">
        <v>27</v>
      </c>
      <c r="Q109" s="101">
        <v>44833</v>
      </c>
      <c r="R109" s="106">
        <v>952069</v>
      </c>
      <c r="S109" s="106" t="s">
        <v>209</v>
      </c>
    </row>
    <row r="110" spans="1:19" s="107" customFormat="1" ht="31.35" hidden="1" customHeight="1" x14ac:dyDescent="0.3">
      <c r="A110" s="97" t="s">
        <v>93</v>
      </c>
      <c r="B110" s="98" t="s">
        <v>304</v>
      </c>
      <c r="C110" s="99" t="s">
        <v>305</v>
      </c>
      <c r="D110" s="99" t="s">
        <v>306</v>
      </c>
      <c r="E110" s="99" t="s">
        <v>73</v>
      </c>
      <c r="F110" s="102" t="s">
        <v>57</v>
      </c>
      <c r="G110" s="102" t="s">
        <v>46</v>
      </c>
      <c r="H110" s="97" t="s">
        <v>25</v>
      </c>
      <c r="I110" s="103">
        <v>44285.72</v>
      </c>
      <c r="J110" s="103">
        <f>I110*0.18</f>
        <v>7971.4295999999995</v>
      </c>
      <c r="K110" s="98" t="s">
        <v>72</v>
      </c>
      <c r="L110" s="103">
        <f>J110*0.8</f>
        <v>6377.1436800000001</v>
      </c>
      <c r="M110" s="141" t="s">
        <v>27</v>
      </c>
      <c r="N110" s="103">
        <f>J110*0.2</f>
        <v>1594.28592</v>
      </c>
      <c r="O110" s="105" t="s">
        <v>27</v>
      </c>
      <c r="P110" s="105" t="s">
        <v>27</v>
      </c>
      <c r="Q110" s="101">
        <v>44834</v>
      </c>
      <c r="R110" s="106">
        <v>7985</v>
      </c>
      <c r="S110" s="106" t="s">
        <v>209</v>
      </c>
    </row>
    <row r="111" spans="1:19" s="107" customFormat="1" ht="31.35" hidden="1" customHeight="1" x14ac:dyDescent="0.3">
      <c r="A111" s="97" t="s">
        <v>307</v>
      </c>
      <c r="B111" s="98" t="s">
        <v>308</v>
      </c>
      <c r="C111" s="99" t="s">
        <v>309</v>
      </c>
      <c r="D111" s="99" t="s">
        <v>310</v>
      </c>
      <c r="E111" s="99" t="s">
        <v>170</v>
      </c>
      <c r="F111" s="102" t="s">
        <v>71</v>
      </c>
      <c r="G111" s="102" t="s">
        <v>24</v>
      </c>
      <c r="H111" s="97" t="s">
        <v>25</v>
      </c>
      <c r="I111" s="103">
        <v>307310.67</v>
      </c>
      <c r="J111" s="103">
        <f>I111*0.15</f>
        <v>46096.600499999993</v>
      </c>
      <c r="K111" s="98" t="s">
        <v>26</v>
      </c>
      <c r="L111" s="103">
        <v>0</v>
      </c>
      <c r="M111" s="103"/>
      <c r="N111" s="103">
        <f>J111</f>
        <v>46096.600499999993</v>
      </c>
      <c r="O111" s="105" t="s">
        <v>27</v>
      </c>
      <c r="P111" s="105" t="s">
        <v>27</v>
      </c>
      <c r="Q111" s="101">
        <v>44834</v>
      </c>
      <c r="R111" s="106">
        <v>7985</v>
      </c>
      <c r="S111" s="106" t="s">
        <v>209</v>
      </c>
    </row>
    <row r="112" spans="1:19" s="107" customFormat="1" ht="31.35" hidden="1" customHeight="1" x14ac:dyDescent="0.3">
      <c r="A112" s="135" t="s">
        <v>311</v>
      </c>
      <c r="B112" s="134" t="s">
        <v>312</v>
      </c>
      <c r="C112" s="136" t="s">
        <v>313</v>
      </c>
      <c r="D112" s="136" t="s">
        <v>314</v>
      </c>
      <c r="E112" s="136" t="s">
        <v>170</v>
      </c>
      <c r="F112" s="137" t="s">
        <v>57</v>
      </c>
      <c r="G112" s="137" t="s">
        <v>46</v>
      </c>
      <c r="H112" s="135" t="s">
        <v>315</v>
      </c>
      <c r="I112" s="138">
        <v>22795</v>
      </c>
      <c r="J112" s="103">
        <v>0</v>
      </c>
      <c r="K112" s="98" t="s">
        <v>72</v>
      </c>
      <c r="L112" s="103"/>
      <c r="M112" s="105" t="s">
        <v>27</v>
      </c>
      <c r="N112" s="103">
        <f>J112*0.2</f>
        <v>0</v>
      </c>
      <c r="O112" s="105" t="s">
        <v>27</v>
      </c>
      <c r="P112" s="105" t="s">
        <v>27</v>
      </c>
      <c r="Q112" s="101">
        <v>44832</v>
      </c>
      <c r="R112" s="106" t="s">
        <v>316</v>
      </c>
      <c r="S112" s="106" t="s">
        <v>209</v>
      </c>
    </row>
    <row r="113" spans="1:25" s="107" customFormat="1" ht="31.35" hidden="1" customHeight="1" x14ac:dyDescent="0.3">
      <c r="A113" s="97" t="s">
        <v>317</v>
      </c>
      <c r="B113" s="98" t="s">
        <v>318</v>
      </c>
      <c r="C113" s="99" t="s">
        <v>319</v>
      </c>
      <c r="D113" s="99" t="s">
        <v>320</v>
      </c>
      <c r="E113" s="99" t="s">
        <v>170</v>
      </c>
      <c r="F113" s="102" t="s">
        <v>57</v>
      </c>
      <c r="G113" s="102" t="s">
        <v>46</v>
      </c>
      <c r="H113" s="97" t="s">
        <v>25</v>
      </c>
      <c r="I113" s="103">
        <v>504853.6</v>
      </c>
      <c r="J113" s="103">
        <f>I113*0.175</f>
        <v>88349.37999999999</v>
      </c>
      <c r="K113" s="98" t="s">
        <v>72</v>
      </c>
      <c r="L113" s="103">
        <f>J113*0.8</f>
        <v>70679.504000000001</v>
      </c>
      <c r="M113" s="141" t="s">
        <v>27</v>
      </c>
      <c r="N113" s="103">
        <f>J113*0.2</f>
        <v>17669.876</v>
      </c>
      <c r="O113" s="141" t="s">
        <v>27</v>
      </c>
      <c r="P113" s="141" t="s">
        <v>27</v>
      </c>
      <c r="Q113" s="101">
        <v>44834</v>
      </c>
      <c r="R113" s="106">
        <v>7985</v>
      </c>
      <c r="S113" s="106" t="s">
        <v>209</v>
      </c>
    </row>
    <row r="114" spans="1:25" s="107" customFormat="1" ht="31.35" hidden="1" customHeight="1" x14ac:dyDescent="0.3">
      <c r="A114" s="97" t="s">
        <v>75</v>
      </c>
      <c r="B114" s="98" t="s">
        <v>301</v>
      </c>
      <c r="C114" s="99" t="s">
        <v>321</v>
      </c>
      <c r="D114" s="99" t="s">
        <v>322</v>
      </c>
      <c r="E114" s="99" t="s">
        <v>170</v>
      </c>
      <c r="F114" s="102" t="s">
        <v>57</v>
      </c>
      <c r="G114" s="102" t="s">
        <v>78</v>
      </c>
      <c r="H114" s="97" t="s">
        <v>47</v>
      </c>
      <c r="I114" s="103">
        <v>759121.58</v>
      </c>
      <c r="J114" s="103">
        <f>I114*0.15</f>
        <v>113868.23699999999</v>
      </c>
      <c r="K114" s="98" t="s">
        <v>79</v>
      </c>
      <c r="L114" s="103">
        <f>J114*0.5</f>
        <v>56934.118499999997</v>
      </c>
      <c r="M114" s="105" t="s">
        <v>27</v>
      </c>
      <c r="N114" s="103">
        <f>J114*0.5</f>
        <v>56934.118499999997</v>
      </c>
      <c r="O114" s="141" t="s">
        <v>27</v>
      </c>
      <c r="P114" s="141" t="s">
        <v>27</v>
      </c>
      <c r="Q114" s="101">
        <v>44833</v>
      </c>
      <c r="R114" s="106">
        <v>952069</v>
      </c>
      <c r="S114" s="106" t="s">
        <v>209</v>
      </c>
    </row>
    <row r="115" spans="1:25" s="107" customFormat="1" ht="31.35" hidden="1" customHeight="1" x14ac:dyDescent="0.3">
      <c r="A115" s="97" t="s">
        <v>91</v>
      </c>
      <c r="B115" s="98" t="s">
        <v>323</v>
      </c>
      <c r="C115" s="99" t="s">
        <v>324</v>
      </c>
      <c r="D115" s="99" t="s">
        <v>325</v>
      </c>
      <c r="E115" s="99" t="s">
        <v>170</v>
      </c>
      <c r="F115" s="102" t="s">
        <v>57</v>
      </c>
      <c r="G115" s="102" t="s">
        <v>24</v>
      </c>
      <c r="H115" s="97" t="s">
        <v>25</v>
      </c>
      <c r="I115" s="103">
        <v>481951.21</v>
      </c>
      <c r="J115" s="103">
        <f>I115*0.15</f>
        <v>72292.681500000006</v>
      </c>
      <c r="K115" s="98" t="s">
        <v>26</v>
      </c>
      <c r="L115" s="103">
        <v>0</v>
      </c>
      <c r="M115" s="131"/>
      <c r="N115" s="103">
        <f>J115</f>
        <v>72292.681500000006</v>
      </c>
      <c r="O115" s="141" t="s">
        <v>27</v>
      </c>
      <c r="P115" s="141" t="s">
        <v>27</v>
      </c>
      <c r="Q115" s="101">
        <v>44834</v>
      </c>
      <c r="R115" s="106">
        <v>7985</v>
      </c>
      <c r="S115" s="106" t="s">
        <v>209</v>
      </c>
    </row>
    <row r="116" spans="1:25" s="107" customFormat="1" ht="31.35" hidden="1" customHeight="1" x14ac:dyDescent="0.3">
      <c r="A116" s="102" t="s">
        <v>326</v>
      </c>
      <c r="B116" s="115" t="s">
        <v>327</v>
      </c>
      <c r="C116" s="99" t="s">
        <v>328</v>
      </c>
      <c r="D116" s="121" t="s">
        <v>325</v>
      </c>
      <c r="E116" s="121" t="s">
        <v>170</v>
      </c>
      <c r="F116" s="102" t="s">
        <v>57</v>
      </c>
      <c r="G116" s="102" t="s">
        <v>46</v>
      </c>
      <c r="H116" s="97" t="s">
        <v>315</v>
      </c>
      <c r="I116" s="103">
        <v>15100</v>
      </c>
      <c r="J116" s="103">
        <v>0</v>
      </c>
      <c r="K116" s="98" t="s">
        <v>72</v>
      </c>
      <c r="L116" s="103"/>
      <c r="M116" s="133" t="s">
        <v>27</v>
      </c>
      <c r="N116" s="103">
        <f>J116*0.2</f>
        <v>0</v>
      </c>
      <c r="O116" s="141" t="s">
        <v>27</v>
      </c>
      <c r="P116" s="141" t="s">
        <v>27</v>
      </c>
      <c r="Q116" s="101">
        <v>44854</v>
      </c>
      <c r="R116" s="106" t="s">
        <v>316</v>
      </c>
      <c r="S116" s="106" t="s">
        <v>209</v>
      </c>
    </row>
    <row r="117" spans="1:25" s="107" customFormat="1" ht="31.35" hidden="1" customHeight="1" x14ac:dyDescent="0.3">
      <c r="A117" s="97" t="s">
        <v>329</v>
      </c>
      <c r="B117" s="98" t="s">
        <v>330</v>
      </c>
      <c r="C117" s="111" t="s">
        <v>331</v>
      </c>
      <c r="D117" s="111" t="s">
        <v>332</v>
      </c>
      <c r="E117" s="101" t="s">
        <v>119</v>
      </c>
      <c r="F117" s="102" t="s">
        <v>57</v>
      </c>
      <c r="G117" s="102" t="s">
        <v>46</v>
      </c>
      <c r="H117" s="97" t="s">
        <v>25</v>
      </c>
      <c r="I117" s="103">
        <v>197647.06</v>
      </c>
      <c r="J117" s="103">
        <f>I117*0.15</f>
        <v>29647.058999999997</v>
      </c>
      <c r="K117" s="98" t="s">
        <v>72</v>
      </c>
      <c r="L117" s="103">
        <f>J117*0.8</f>
        <v>23717.647199999999</v>
      </c>
      <c r="M117" s="144" t="s">
        <v>27</v>
      </c>
      <c r="N117" s="103">
        <f>J117*0.2</f>
        <v>5929.4117999999999</v>
      </c>
      <c r="O117" s="141" t="s">
        <v>27</v>
      </c>
      <c r="P117" s="141" t="s">
        <v>27</v>
      </c>
      <c r="Q117" s="101">
        <v>44781</v>
      </c>
      <c r="R117" s="106">
        <v>7354</v>
      </c>
      <c r="S117" s="106" t="s">
        <v>73</v>
      </c>
    </row>
    <row r="118" spans="1:25" s="107" customFormat="1" ht="31.35" hidden="1" customHeight="1" x14ac:dyDescent="0.3">
      <c r="A118" s="102" t="s">
        <v>91</v>
      </c>
      <c r="B118" s="115" t="s">
        <v>323</v>
      </c>
      <c r="C118" s="99" t="s">
        <v>333</v>
      </c>
      <c r="D118" s="121" t="s">
        <v>334</v>
      </c>
      <c r="E118" s="121" t="s">
        <v>170</v>
      </c>
      <c r="F118" s="102" t="s">
        <v>71</v>
      </c>
      <c r="G118" s="102" t="s">
        <v>24</v>
      </c>
      <c r="H118" s="97" t="s">
        <v>25</v>
      </c>
      <c r="I118" s="103">
        <v>201912.13</v>
      </c>
      <c r="J118" s="103">
        <f>I118*0.15</f>
        <v>30286.819499999998</v>
      </c>
      <c r="K118" s="98" t="s">
        <v>26</v>
      </c>
      <c r="L118" s="103">
        <v>0</v>
      </c>
      <c r="M118" s="131" t="s">
        <v>335</v>
      </c>
      <c r="N118" s="103">
        <f>J118</f>
        <v>30286.819499999998</v>
      </c>
      <c r="O118" s="141" t="s">
        <v>27</v>
      </c>
      <c r="P118" s="141" t="s">
        <v>27</v>
      </c>
      <c r="Q118" s="101">
        <v>44854</v>
      </c>
      <c r="R118" s="107" t="s">
        <v>336</v>
      </c>
      <c r="S118" s="106" t="s">
        <v>209</v>
      </c>
    </row>
    <row r="119" spans="1:25" s="107" customFormat="1" ht="31.35" hidden="1" customHeight="1" x14ac:dyDescent="0.3">
      <c r="A119" s="102" t="s">
        <v>282</v>
      </c>
      <c r="B119" s="115" t="s">
        <v>337</v>
      </c>
      <c r="C119" s="99" t="s">
        <v>338</v>
      </c>
      <c r="D119" s="121" t="s">
        <v>339</v>
      </c>
      <c r="E119" s="121" t="s">
        <v>209</v>
      </c>
      <c r="F119" s="102" t="s">
        <v>57</v>
      </c>
      <c r="G119" s="102" t="s">
        <v>78</v>
      </c>
      <c r="H119" s="97" t="s">
        <v>47</v>
      </c>
      <c r="I119" s="103">
        <v>423411.63</v>
      </c>
      <c r="J119" s="103">
        <f>I119*0.15</f>
        <v>63511.744500000001</v>
      </c>
      <c r="K119" s="98" t="s">
        <v>79</v>
      </c>
      <c r="L119" s="103">
        <f>J119*0.5</f>
        <v>31755.87225</v>
      </c>
      <c r="M119" s="145" t="s">
        <v>340</v>
      </c>
      <c r="N119" s="103">
        <f>J119*0.5</f>
        <v>31755.87225</v>
      </c>
      <c r="O119" s="118" t="s">
        <v>27</v>
      </c>
      <c r="P119" s="118" t="s">
        <v>27</v>
      </c>
      <c r="Q119" s="101">
        <v>44875</v>
      </c>
      <c r="R119" s="106">
        <v>966919</v>
      </c>
      <c r="S119" s="106" t="s">
        <v>217</v>
      </c>
    </row>
    <row r="120" spans="1:25" s="107" customFormat="1" ht="31.35" hidden="1" customHeight="1" x14ac:dyDescent="0.3">
      <c r="A120" s="102" t="s">
        <v>282</v>
      </c>
      <c r="B120" s="115" t="s">
        <v>337</v>
      </c>
      <c r="C120" s="99" t="s">
        <v>341</v>
      </c>
      <c r="D120" s="121" t="s">
        <v>339</v>
      </c>
      <c r="E120" s="121" t="s">
        <v>209</v>
      </c>
      <c r="F120" s="102" t="s">
        <v>213</v>
      </c>
      <c r="G120" s="102" t="s">
        <v>78</v>
      </c>
      <c r="H120" s="97" t="s">
        <v>47</v>
      </c>
      <c r="I120" s="103">
        <v>208999.99</v>
      </c>
      <c r="J120" s="103">
        <f>I120*0.12</f>
        <v>25079.998799999998</v>
      </c>
      <c r="K120" s="98" t="s">
        <v>72</v>
      </c>
      <c r="L120" s="103">
        <f>J120*0.2</f>
        <v>5015.9997599999997</v>
      </c>
      <c r="M120" s="141" t="s">
        <v>27</v>
      </c>
      <c r="N120" s="103">
        <f>J120*0.8</f>
        <v>20063.999039999999</v>
      </c>
      <c r="O120" s="118" t="s">
        <v>27</v>
      </c>
      <c r="P120" s="118" t="s">
        <v>27</v>
      </c>
      <c r="Q120" s="101">
        <v>44875</v>
      </c>
      <c r="R120" s="106">
        <v>966919</v>
      </c>
      <c r="S120" s="106" t="s">
        <v>217</v>
      </c>
    </row>
    <row r="121" spans="1:25" s="107" customFormat="1" ht="31.35" hidden="1" customHeight="1" x14ac:dyDescent="0.3">
      <c r="A121" s="102" t="s">
        <v>342</v>
      </c>
      <c r="B121" s="115" t="s">
        <v>343</v>
      </c>
      <c r="C121" s="106" t="s">
        <v>344</v>
      </c>
      <c r="D121" s="126">
        <v>44880</v>
      </c>
      <c r="E121" s="121" t="s">
        <v>217</v>
      </c>
      <c r="F121" s="102" t="s">
        <v>57</v>
      </c>
      <c r="G121" s="102" t="s">
        <v>78</v>
      </c>
      <c r="H121" s="97" t="s">
        <v>47</v>
      </c>
      <c r="I121" s="103">
        <v>945218.05</v>
      </c>
      <c r="J121" s="103">
        <f>I121*0.1</f>
        <v>94521.805000000008</v>
      </c>
      <c r="K121" s="134" t="s">
        <v>79</v>
      </c>
      <c r="L121" s="138">
        <f>J121*0.5</f>
        <v>47260.902500000004</v>
      </c>
      <c r="M121" s="145" t="s">
        <v>340</v>
      </c>
      <c r="N121" s="103">
        <f>J121*0.5</f>
        <v>47260.902500000004</v>
      </c>
      <c r="O121" s="118" t="s">
        <v>27</v>
      </c>
      <c r="P121" s="118" t="s">
        <v>27</v>
      </c>
      <c r="Q121" s="126">
        <v>44894</v>
      </c>
      <c r="R121" s="106">
        <v>966919</v>
      </c>
      <c r="S121" s="106" t="s">
        <v>217</v>
      </c>
    </row>
    <row r="122" spans="1:25" s="107" customFormat="1" ht="31.35" hidden="1" customHeight="1" x14ac:dyDescent="0.3">
      <c r="A122" s="102" t="s">
        <v>342</v>
      </c>
      <c r="B122" s="115" t="s">
        <v>343</v>
      </c>
      <c r="C122" s="106" t="s">
        <v>345</v>
      </c>
      <c r="D122" s="126">
        <v>44880</v>
      </c>
      <c r="E122" s="121" t="s">
        <v>217</v>
      </c>
      <c r="F122" s="102" t="s">
        <v>65</v>
      </c>
      <c r="G122" s="102" t="s">
        <v>78</v>
      </c>
      <c r="H122" s="97" t="s">
        <v>47</v>
      </c>
      <c r="I122" s="103">
        <v>231000</v>
      </c>
      <c r="J122" s="103">
        <f>I122*0.1</f>
        <v>23100</v>
      </c>
      <c r="K122" s="98" t="s">
        <v>72</v>
      </c>
      <c r="L122" s="138">
        <f>J122*0.2</f>
        <v>4620</v>
      </c>
      <c r="M122" s="105" t="s">
        <v>27</v>
      </c>
      <c r="N122" s="103">
        <f>J122*0.8</f>
        <v>18480</v>
      </c>
      <c r="O122" s="118" t="s">
        <v>27</v>
      </c>
      <c r="P122" s="118" t="s">
        <v>27</v>
      </c>
      <c r="Q122" s="126">
        <v>44894</v>
      </c>
      <c r="R122" s="106">
        <v>966919</v>
      </c>
      <c r="S122" s="106" t="s">
        <v>217</v>
      </c>
    </row>
    <row r="123" spans="1:25" s="107" customFormat="1" ht="31.35" hidden="1" customHeight="1" x14ac:dyDescent="0.3">
      <c r="A123" s="102" t="s">
        <v>346</v>
      </c>
      <c r="B123" s="115" t="s">
        <v>347</v>
      </c>
      <c r="C123" s="106" t="s">
        <v>348</v>
      </c>
      <c r="D123" s="126">
        <v>44889</v>
      </c>
      <c r="E123" s="121" t="s">
        <v>217</v>
      </c>
      <c r="F123" s="102" t="s">
        <v>57</v>
      </c>
      <c r="G123" s="102" t="s">
        <v>78</v>
      </c>
      <c r="H123" s="97" t="s">
        <v>123</v>
      </c>
      <c r="I123" s="103">
        <v>1512853.05</v>
      </c>
      <c r="J123" s="103">
        <f>I123*0.15</f>
        <v>226927.95749999999</v>
      </c>
      <c r="K123" s="98" t="s">
        <v>79</v>
      </c>
      <c r="L123" s="103">
        <f>J123*0.5</f>
        <v>113463.97874999999</v>
      </c>
      <c r="M123" s="145" t="s">
        <v>340</v>
      </c>
      <c r="N123" s="103">
        <f>J123*0.5</f>
        <v>113463.97874999999</v>
      </c>
      <c r="O123" s="118" t="s">
        <v>27</v>
      </c>
      <c r="P123" s="118" t="s">
        <v>27</v>
      </c>
      <c r="Q123" s="126">
        <v>44908</v>
      </c>
      <c r="R123" s="106">
        <v>985570</v>
      </c>
      <c r="S123" s="106" t="s">
        <v>223</v>
      </c>
    </row>
    <row r="124" spans="1:25" ht="31.35" hidden="1" customHeight="1" x14ac:dyDescent="0.3">
      <c r="A124" s="6" t="s">
        <v>346</v>
      </c>
      <c r="B124" s="5" t="s">
        <v>347</v>
      </c>
      <c r="C124" s="41" t="s">
        <v>349</v>
      </c>
      <c r="D124" s="20">
        <v>44889</v>
      </c>
      <c r="E124" s="91" t="s">
        <v>217</v>
      </c>
      <c r="F124" s="6" t="s">
        <v>213</v>
      </c>
      <c r="G124" s="6" t="s">
        <v>78</v>
      </c>
      <c r="H124" s="46" t="s">
        <v>47</v>
      </c>
      <c r="I124" s="34">
        <v>391000</v>
      </c>
      <c r="J124" s="34">
        <f>I124*0.12</f>
        <v>46920</v>
      </c>
      <c r="K124" s="62" t="s">
        <v>72</v>
      </c>
      <c r="L124" s="34">
        <f>J124*0.2</f>
        <v>9384</v>
      </c>
      <c r="M124" s="92" t="s">
        <v>27</v>
      </c>
      <c r="N124" s="34">
        <f>J124*0.8</f>
        <v>37536</v>
      </c>
      <c r="O124" s="80" t="s">
        <v>27</v>
      </c>
      <c r="P124" s="80" t="s">
        <v>27</v>
      </c>
      <c r="Q124" s="20">
        <v>44908</v>
      </c>
      <c r="R124" s="41">
        <v>985570</v>
      </c>
      <c r="S124" s="41" t="s">
        <v>223</v>
      </c>
    </row>
    <row r="125" spans="1:25" ht="31.35" hidden="1" customHeight="1" x14ac:dyDescent="0.3">
      <c r="A125" s="6" t="s">
        <v>350</v>
      </c>
      <c r="B125" s="5" t="s">
        <v>351</v>
      </c>
      <c r="C125" s="45" t="s">
        <v>352</v>
      </c>
      <c r="D125" s="91" t="s">
        <v>353</v>
      </c>
      <c r="E125" s="91" t="s">
        <v>209</v>
      </c>
      <c r="F125" s="6" t="s">
        <v>83</v>
      </c>
      <c r="G125" s="6" t="s">
        <v>24</v>
      </c>
      <c r="H125" s="46" t="s">
        <v>142</v>
      </c>
      <c r="I125" s="34">
        <v>66040.22</v>
      </c>
      <c r="J125" s="34">
        <f>I125*0.24</f>
        <v>15849.6528</v>
      </c>
      <c r="K125" s="62" t="s">
        <v>26</v>
      </c>
      <c r="L125" s="34">
        <v>0</v>
      </c>
      <c r="M125" s="34"/>
      <c r="N125" s="34">
        <f>J125</f>
        <v>15849.6528</v>
      </c>
      <c r="O125" s="80" t="s">
        <v>27</v>
      </c>
      <c r="P125" s="80" t="s">
        <v>27</v>
      </c>
      <c r="Q125" s="48">
        <v>44872</v>
      </c>
      <c r="R125" s="87"/>
      <c r="S125" s="41" t="s">
        <v>217</v>
      </c>
    </row>
    <row r="126" spans="1:25" ht="31.35" hidden="1" customHeight="1" x14ac:dyDescent="0.3">
      <c r="A126" s="6" t="s">
        <v>354</v>
      </c>
      <c r="B126" s="5" t="s">
        <v>355</v>
      </c>
      <c r="C126" s="41" t="s">
        <v>356</v>
      </c>
      <c r="D126" s="20">
        <v>44853</v>
      </c>
      <c r="E126" s="91" t="s">
        <v>209</v>
      </c>
      <c r="F126" s="6" t="s">
        <v>57</v>
      </c>
      <c r="G126" s="6" t="s">
        <v>46</v>
      </c>
      <c r="H126" s="6" t="s">
        <v>25</v>
      </c>
      <c r="I126" s="34">
        <v>56162.2</v>
      </c>
      <c r="J126" s="34">
        <f>I126*0.15</f>
        <v>8424.33</v>
      </c>
      <c r="K126" s="18" t="s">
        <v>72</v>
      </c>
      <c r="L126" s="34">
        <f>J126*0.8</f>
        <v>6739.4639999999999</v>
      </c>
      <c r="M126" s="92" t="s">
        <v>27</v>
      </c>
      <c r="N126" s="34">
        <f>J126*0.2</f>
        <v>1684.866</v>
      </c>
      <c r="O126" s="80" t="s">
        <v>27</v>
      </c>
      <c r="P126" s="80" t="s">
        <v>27</v>
      </c>
      <c r="Q126" s="90">
        <v>44883</v>
      </c>
      <c r="R126" s="94" t="s">
        <v>216</v>
      </c>
      <c r="S126" s="34" t="s">
        <v>217</v>
      </c>
      <c r="W126" s="3"/>
      <c r="X126" s="3"/>
      <c r="Y126" s="3"/>
    </row>
    <row r="127" spans="1:25" ht="31.35" hidden="1" customHeight="1" x14ac:dyDescent="0.3">
      <c r="A127" s="6" t="s">
        <v>357</v>
      </c>
      <c r="B127" s="5" t="s">
        <v>358</v>
      </c>
      <c r="C127" s="6" t="s">
        <v>359</v>
      </c>
      <c r="D127" s="20">
        <v>44861</v>
      </c>
      <c r="E127" s="91" t="s">
        <v>209</v>
      </c>
      <c r="F127" s="6" t="s">
        <v>57</v>
      </c>
      <c r="G127" s="6" t="s">
        <v>46</v>
      </c>
      <c r="H127" s="6" t="s">
        <v>315</v>
      </c>
      <c r="I127" s="34">
        <v>273612.43</v>
      </c>
      <c r="J127" s="34">
        <v>0</v>
      </c>
      <c r="K127" s="62" t="s">
        <v>72</v>
      </c>
      <c r="L127" s="34">
        <v>0</v>
      </c>
      <c r="M127" s="92" t="s">
        <v>27</v>
      </c>
      <c r="N127" s="34">
        <v>0</v>
      </c>
      <c r="O127" s="92" t="s">
        <v>27</v>
      </c>
      <c r="P127" s="92" t="s">
        <v>27</v>
      </c>
      <c r="Q127" s="90">
        <v>44866</v>
      </c>
      <c r="R127" s="41" t="s">
        <v>316</v>
      </c>
      <c r="S127" s="41" t="s">
        <v>209</v>
      </c>
      <c r="W127" s="3"/>
      <c r="X127" s="3"/>
      <c r="Y127" s="3"/>
    </row>
    <row r="128" spans="1:25" ht="31.35" hidden="1" customHeight="1" x14ac:dyDescent="0.3">
      <c r="A128" s="6" t="s">
        <v>93</v>
      </c>
      <c r="B128" s="5" t="s">
        <v>360</v>
      </c>
      <c r="C128" s="41" t="s">
        <v>361</v>
      </c>
      <c r="D128" s="20">
        <v>44852</v>
      </c>
      <c r="E128" s="91" t="s">
        <v>209</v>
      </c>
      <c r="F128" s="6" t="s">
        <v>57</v>
      </c>
      <c r="G128" s="6" t="s">
        <v>46</v>
      </c>
      <c r="H128" s="6" t="s">
        <v>25</v>
      </c>
      <c r="I128" s="34">
        <v>33000</v>
      </c>
      <c r="J128" s="34">
        <f>I128*0.15</f>
        <v>4950</v>
      </c>
      <c r="K128" s="28" t="s">
        <v>72</v>
      </c>
      <c r="L128" s="34">
        <f>J128*0.8</f>
        <v>3960</v>
      </c>
      <c r="M128" s="92" t="s">
        <v>27</v>
      </c>
      <c r="N128" s="34">
        <f>J128*0.2</f>
        <v>990</v>
      </c>
      <c r="O128" s="80" t="s">
        <v>27</v>
      </c>
      <c r="P128" s="80" t="s">
        <v>27</v>
      </c>
      <c r="Q128" s="90">
        <v>44908</v>
      </c>
      <c r="R128" s="6" t="s">
        <v>362</v>
      </c>
      <c r="S128" s="34" t="s">
        <v>223</v>
      </c>
      <c r="W128" s="3"/>
      <c r="X128" s="3"/>
      <c r="Y128" s="3"/>
    </row>
    <row r="129" spans="1:25" ht="31.35" hidden="1" customHeight="1" x14ac:dyDescent="0.3">
      <c r="A129" s="15" t="s">
        <v>276</v>
      </c>
      <c r="B129" s="11" t="s">
        <v>265</v>
      </c>
      <c r="C129" s="41" t="s">
        <v>363</v>
      </c>
      <c r="D129" s="20">
        <v>44860</v>
      </c>
      <c r="E129" s="91" t="s">
        <v>209</v>
      </c>
      <c r="F129" s="15" t="s">
        <v>140</v>
      </c>
      <c r="G129" s="15" t="s">
        <v>24</v>
      </c>
      <c r="H129" s="15" t="s">
        <v>25</v>
      </c>
      <c r="I129" s="34">
        <v>59760</v>
      </c>
      <c r="J129" s="34">
        <f>8661.47</f>
        <v>8661.4699999999993</v>
      </c>
      <c r="K129" s="19" t="s">
        <v>26</v>
      </c>
      <c r="L129" s="34">
        <v>0</v>
      </c>
      <c r="M129" s="95"/>
      <c r="N129" s="34">
        <f>J129</f>
        <v>8661.4699999999993</v>
      </c>
      <c r="O129" s="80" t="s">
        <v>27</v>
      </c>
      <c r="P129" s="80" t="s">
        <v>27</v>
      </c>
      <c r="Q129" s="34"/>
      <c r="R129" s="87"/>
      <c r="S129" s="34" t="s">
        <v>223</v>
      </c>
      <c r="W129" s="3"/>
      <c r="X129" s="3"/>
      <c r="Y129" s="3"/>
    </row>
    <row r="130" spans="1:25" ht="31.35" hidden="1" customHeight="1" x14ac:dyDescent="0.3">
      <c r="A130" s="6" t="s">
        <v>364</v>
      </c>
      <c r="B130" s="215" t="s">
        <v>365</v>
      </c>
      <c r="C130" s="96" t="s">
        <v>366</v>
      </c>
      <c r="D130" s="20">
        <v>44895</v>
      </c>
      <c r="E130" s="6" t="s">
        <v>217</v>
      </c>
      <c r="F130" s="6" t="s">
        <v>57</v>
      </c>
      <c r="G130" s="6" t="s">
        <v>118</v>
      </c>
      <c r="H130" s="6" t="s">
        <v>25</v>
      </c>
      <c r="I130" s="34">
        <v>327879.05</v>
      </c>
      <c r="J130" s="34">
        <f>I130*0.18</f>
        <v>59018.228999999992</v>
      </c>
      <c r="K130" s="18" t="s">
        <v>79</v>
      </c>
      <c r="L130" s="34">
        <f>J130*0.5</f>
        <v>29509.114499999996</v>
      </c>
      <c r="M130" s="93" t="s">
        <v>340</v>
      </c>
      <c r="N130" s="34">
        <f>J130*0.5</f>
        <v>29509.114499999996</v>
      </c>
      <c r="O130" s="50" t="s">
        <v>27</v>
      </c>
      <c r="P130" s="50" t="s">
        <v>27</v>
      </c>
      <c r="Q130" s="90">
        <v>44926</v>
      </c>
      <c r="R130" s="6" t="s">
        <v>367</v>
      </c>
      <c r="S130" s="34" t="s">
        <v>223</v>
      </c>
      <c r="W130" s="3"/>
      <c r="X130" s="3"/>
      <c r="Y130" s="3"/>
    </row>
    <row r="131" spans="1:25" ht="31.35" hidden="1" customHeight="1" x14ac:dyDescent="0.3">
      <c r="A131" s="6" t="s">
        <v>180</v>
      </c>
      <c r="B131" s="5" t="s">
        <v>368</v>
      </c>
      <c r="C131" s="41" t="s">
        <v>369</v>
      </c>
      <c r="D131" s="20">
        <v>44910</v>
      </c>
      <c r="E131" s="91" t="s">
        <v>223</v>
      </c>
      <c r="F131" s="6" t="s">
        <v>57</v>
      </c>
      <c r="G131" s="6" t="s">
        <v>61</v>
      </c>
      <c r="H131" s="6" t="s">
        <v>47</v>
      </c>
      <c r="I131" s="34">
        <v>794981.06</v>
      </c>
      <c r="J131" s="34">
        <f>I131*0.17</f>
        <v>135146.78020000001</v>
      </c>
      <c r="K131" s="18" t="s">
        <v>68</v>
      </c>
      <c r="L131" s="34">
        <f>J131*0.4</f>
        <v>54058.712080000005</v>
      </c>
      <c r="M131" s="93" t="s">
        <v>340</v>
      </c>
      <c r="N131" s="34">
        <f>J131*0.6</f>
        <v>81088.068119999996</v>
      </c>
      <c r="O131" s="50" t="s">
        <v>27</v>
      </c>
      <c r="P131" s="50" t="s">
        <v>27</v>
      </c>
      <c r="Q131" s="90">
        <v>44922</v>
      </c>
      <c r="R131" s="41">
        <v>985570</v>
      </c>
      <c r="S131" s="34" t="s">
        <v>223</v>
      </c>
      <c r="W131" s="3"/>
      <c r="X131" s="3"/>
      <c r="Y131" s="3"/>
    </row>
    <row r="132" spans="1:25" ht="31.35" hidden="1" customHeight="1" x14ac:dyDescent="0.3">
      <c r="A132" s="6" t="s">
        <v>180</v>
      </c>
      <c r="B132" s="5" t="s">
        <v>368</v>
      </c>
      <c r="C132" s="41" t="s">
        <v>370</v>
      </c>
      <c r="D132" s="20">
        <v>44914</v>
      </c>
      <c r="E132" s="20" t="s">
        <v>223</v>
      </c>
      <c r="F132" s="6" t="s">
        <v>213</v>
      </c>
      <c r="G132" s="6" t="s">
        <v>61</v>
      </c>
      <c r="H132" s="6" t="s">
        <v>47</v>
      </c>
      <c r="I132" s="34">
        <v>380650</v>
      </c>
      <c r="J132" s="34">
        <f>I132*0.2145577</f>
        <v>81671.388504999995</v>
      </c>
      <c r="K132" s="18" t="s">
        <v>72</v>
      </c>
      <c r="L132" s="34">
        <f>J132*0.2</f>
        <v>16334.277700999999</v>
      </c>
      <c r="M132" s="50" t="s">
        <v>27</v>
      </c>
      <c r="N132" s="34">
        <f>J132*0.8</f>
        <v>65337.110803999996</v>
      </c>
      <c r="O132" s="50" t="s">
        <v>27</v>
      </c>
      <c r="P132" s="50" t="s">
        <v>27</v>
      </c>
      <c r="Q132" s="90">
        <v>44922</v>
      </c>
      <c r="R132" s="41">
        <v>985570</v>
      </c>
      <c r="S132" s="34" t="s">
        <v>223</v>
      </c>
      <c r="W132" s="3"/>
      <c r="X132" s="3"/>
      <c r="Y132" s="3"/>
    </row>
    <row r="133" spans="1:25" ht="31.35" customHeight="1" x14ac:dyDescent="0.3">
      <c r="A133" s="3"/>
      <c r="B133" s="16"/>
      <c r="C133" s="16"/>
      <c r="D133" s="16"/>
      <c r="E133" s="16"/>
      <c r="F133" s="16"/>
      <c r="G133" s="16"/>
      <c r="H133" s="21" t="s">
        <v>371</v>
      </c>
      <c r="I133" s="22">
        <f>SUBTOTAL(109,I2:I132)</f>
        <v>1457743.42</v>
      </c>
      <c r="J133" s="22">
        <f>SUM(J2:J132)</f>
        <v>8816781.3354859985</v>
      </c>
      <c r="K133" s="22"/>
      <c r="L133" s="22">
        <f>SUM(L2:L130)</f>
        <v>3119244.0774555006</v>
      </c>
      <c r="M133" s="23"/>
      <c r="N133" s="22">
        <f>SUM(N2:N130)</f>
        <v>5480719.0791254994</v>
      </c>
      <c r="Q133" s="3"/>
      <c r="R133" s="3"/>
      <c r="S133" s="3"/>
    </row>
    <row r="134" spans="1:25" ht="31.35" customHeight="1" x14ac:dyDescent="0.3">
      <c r="A134" s="3"/>
      <c r="B134" s="16"/>
      <c r="C134" s="16"/>
      <c r="D134" s="16"/>
      <c r="E134" s="16"/>
      <c r="F134" s="16"/>
      <c r="G134" s="16"/>
      <c r="J134" s="1"/>
      <c r="N134" s="17"/>
      <c r="Q134" s="3"/>
      <c r="R134" s="3"/>
      <c r="S134" s="3"/>
    </row>
    <row r="135" spans="1:25" ht="31.35" customHeight="1" x14ac:dyDescent="0.3">
      <c r="J135" s="1"/>
    </row>
    <row r="136" spans="1:25" ht="31.35" customHeight="1" x14ac:dyDescent="0.3">
      <c r="I136" s="1"/>
      <c r="J136" s="1"/>
      <c r="L136" s="1"/>
    </row>
    <row r="137" spans="1:25" ht="31.35" customHeight="1" x14ac:dyDescent="0.3">
      <c r="A137" s="6" t="s">
        <v>372</v>
      </c>
      <c r="B137" s="9">
        <f>D138</f>
        <v>209031.53299999997</v>
      </c>
      <c r="D137" s="4" t="s">
        <v>373</v>
      </c>
      <c r="E137" s="4" t="s">
        <v>374</v>
      </c>
      <c r="F137" s="4" t="s">
        <v>13</v>
      </c>
      <c r="I137" s="1"/>
      <c r="J137" s="1"/>
      <c r="K137" s="1"/>
      <c r="L137" s="1"/>
    </row>
    <row r="138" spans="1:25" ht="31.35" customHeight="1" x14ac:dyDescent="0.3">
      <c r="A138" s="6" t="s">
        <v>375</v>
      </c>
      <c r="B138" s="9">
        <f>B137*0.16</f>
        <v>33445.045279999998</v>
      </c>
      <c r="D138" s="2">
        <f>SUBTOTAL(109,J2:J132)</f>
        <v>209031.53299999997</v>
      </c>
      <c r="E138" s="2">
        <f>SUBTOTAL(109,L2:L132)</f>
        <v>75908.609199999992</v>
      </c>
      <c r="F138" s="2">
        <f>SUBTOTAL(109,N2:N132)</f>
        <v>133122.92379999999</v>
      </c>
      <c r="G138" s="13"/>
      <c r="H138" s="13"/>
      <c r="I138" s="13"/>
      <c r="J138" s="13"/>
      <c r="K138" s="13"/>
      <c r="L138" s="1"/>
    </row>
    <row r="139" spans="1:25" ht="31.35" customHeight="1" x14ac:dyDescent="0.3">
      <c r="A139" s="6" t="s">
        <v>376</v>
      </c>
      <c r="B139" s="9">
        <f>SUM(B137:B138)</f>
        <v>242476.57827999996</v>
      </c>
      <c r="D139" s="37">
        <f>D138/20</f>
        <v>10451.576649999999</v>
      </c>
      <c r="E139" s="37">
        <f>E138/20</f>
        <v>3795.4304599999996</v>
      </c>
      <c r="F139" s="37">
        <f>F138/20</f>
        <v>6656.1461899999995</v>
      </c>
      <c r="G139" s="1">
        <f>E138+F138</f>
        <v>209031.533</v>
      </c>
      <c r="H139" s="1"/>
      <c r="J139" s="1"/>
      <c r="L139" s="1"/>
    </row>
    <row r="140" spans="1:25" ht="31.35" customHeight="1" x14ac:dyDescent="0.3">
      <c r="C140" s="1"/>
      <c r="D140" s="13"/>
      <c r="E140" s="12"/>
      <c r="F140" s="1"/>
      <c r="I140" s="1"/>
      <c r="J140" s="12"/>
      <c r="L140" s="1"/>
    </row>
    <row r="141" spans="1:25" ht="31.35" customHeight="1" x14ac:dyDescent="0.3">
      <c r="D141" s="177"/>
      <c r="G141" s="1"/>
      <c r="I141" s="178"/>
      <c r="J141">
        <v>0</v>
      </c>
    </row>
    <row r="142" spans="1:25" ht="31.35" customHeight="1" x14ac:dyDescent="0.3">
      <c r="D142" s="1"/>
      <c r="I142" s="1"/>
    </row>
    <row r="143" spans="1:25" ht="31.35" customHeight="1" x14ac:dyDescent="0.3">
      <c r="D143" s="178"/>
    </row>
  </sheetData>
  <autoFilter ref="A1:T132" xr:uid="{CC60D432-6273-48A3-99E1-61C7C3E9277C}">
    <filterColumn colId="1">
      <filters>
        <filter val="Putas Redes Sociales"/>
      </filters>
    </filterColumn>
  </autoFilter>
  <sortState xmlns:xlrd2="http://schemas.microsoft.com/office/spreadsheetml/2017/richdata2" ref="A11:R142">
    <sortCondition ref="D16:D142" customList="Jan,Feb,Mar,Apr,May,Jun,Jul,Aug,Sep,Oct,Nov,Dec"/>
  </sortState>
  <phoneticPr fontId="6" type="noConversion"/>
  <conditionalFormatting sqref="D22:E31">
    <cfRule type="timePeriod" dxfId="1" priority="1" timePeriod="lastMonth">
      <formula>AND(MONTH(D22)=MONTH(EDATE(TODAY(),0-1)),YEAR(D22)=YEAR(EDATE(TODAY(),0-1)))</formula>
    </cfRule>
  </conditionalFormatting>
  <pageMargins left="0.7" right="0.7" top="0.75" bottom="0.75" header="0.3" footer="0.3"/>
  <pageSetup paperSize="9" orientation="portrait" r:id="rId1"/>
  <ignoredErrors>
    <ignoredError sqref="D81:D83 D106:D107" twoDigitTextYear="1"/>
    <ignoredError sqref="J10 N34 J34:J35 J38 J40 L73 L40 N73 N40 N53 N32 J106 J60 L63 N45 N60 N62 N106 J108 N88 N108 L120 N120" formula="1"/>
    <ignoredError sqref="C6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4AE21-009C-4972-8EE1-126D1C5B024C}">
  <dimension ref="A1:W832"/>
  <sheetViews>
    <sheetView topLeftCell="A63" zoomScale="55" zoomScaleNormal="80" zoomScaleSheetLayoutView="85" workbookViewId="0">
      <selection activeCell="E1" sqref="E1"/>
    </sheetView>
  </sheetViews>
  <sheetFormatPr baseColWidth="10" defaultColWidth="32.5546875" defaultRowHeight="18" customHeight="1" x14ac:dyDescent="0.3"/>
  <cols>
    <col min="1" max="1" width="0.109375" customWidth="1"/>
    <col min="2" max="2" width="46" customWidth="1"/>
    <col min="3" max="3" width="47.44140625" customWidth="1"/>
    <col min="4" max="4" width="45.5546875" customWidth="1"/>
    <col min="5" max="5" width="55" style="6" customWidth="1"/>
    <col min="6" max="6" width="51" customWidth="1"/>
    <col min="7" max="7" width="55.5546875" customWidth="1"/>
    <col min="8" max="8" width="38.88671875" customWidth="1"/>
    <col min="9" max="9" width="43.88671875" customWidth="1"/>
    <col min="10" max="10" width="32.5546875" customWidth="1"/>
    <col min="11" max="11" width="28" customWidth="1"/>
    <col min="12" max="12" width="30.88671875" customWidth="1"/>
    <col min="13" max="13" width="31.44140625" customWidth="1"/>
    <col min="14" max="14" width="33.88671875" customWidth="1"/>
    <col min="15" max="15" width="48.5546875" customWidth="1"/>
    <col min="16" max="16" width="52.5546875" customWidth="1"/>
    <col min="17" max="17" width="62.88671875" customWidth="1"/>
    <col min="18" max="18" width="58.5546875" customWidth="1"/>
    <col min="19" max="19" width="39.88671875" customWidth="1"/>
    <col min="20" max="22" width="32.5546875" customWidth="1"/>
  </cols>
  <sheetData>
    <row r="1" spans="1:23" ht="24.6" customHeight="1" x14ac:dyDescent="0.3">
      <c r="A1" s="24" t="s">
        <v>0</v>
      </c>
      <c r="B1" s="25" t="s">
        <v>377</v>
      </c>
      <c r="C1" s="25" t="s">
        <v>378</v>
      </c>
      <c r="D1" s="25" t="s">
        <v>2</v>
      </c>
      <c r="E1" s="224" t="s">
        <v>3</v>
      </c>
      <c r="F1" s="221" t="s">
        <v>4</v>
      </c>
      <c r="G1" s="25" t="s">
        <v>5</v>
      </c>
      <c r="H1" s="26" t="s">
        <v>6</v>
      </c>
      <c r="I1" s="318" t="s">
        <v>379</v>
      </c>
      <c r="J1" s="27" t="s">
        <v>7</v>
      </c>
      <c r="K1" s="26" t="s">
        <v>8</v>
      </c>
      <c r="L1" s="26" t="s">
        <v>9</v>
      </c>
      <c r="M1" s="26" t="s">
        <v>10</v>
      </c>
      <c r="N1" s="26" t="s">
        <v>380</v>
      </c>
      <c r="O1" s="26" t="s">
        <v>12</v>
      </c>
      <c r="P1" s="26" t="s">
        <v>13</v>
      </c>
      <c r="Q1" s="26" t="s">
        <v>14</v>
      </c>
      <c r="R1" s="26" t="s">
        <v>15</v>
      </c>
      <c r="S1" s="26" t="s">
        <v>381</v>
      </c>
      <c r="T1" s="26" t="s">
        <v>382</v>
      </c>
      <c r="U1" s="26" t="s">
        <v>18</v>
      </c>
      <c r="V1" s="26" t="s">
        <v>19</v>
      </c>
    </row>
    <row r="2" spans="1:23" ht="18" customHeight="1" x14ac:dyDescent="0.3">
      <c r="A2" s="6"/>
      <c r="B2" s="6" t="s">
        <v>383</v>
      </c>
      <c r="C2" s="32" t="s">
        <v>384</v>
      </c>
      <c r="D2" s="32" t="s">
        <v>385</v>
      </c>
      <c r="E2" s="20">
        <v>44929</v>
      </c>
      <c r="F2" s="33" t="s">
        <v>44</v>
      </c>
      <c r="G2" s="6" t="s">
        <v>213</v>
      </c>
      <c r="H2" s="6" t="s">
        <v>24</v>
      </c>
      <c r="I2" s="6"/>
      <c r="J2" s="9" t="s">
        <v>47</v>
      </c>
      <c r="K2" s="9">
        <v>24800</v>
      </c>
      <c r="L2" s="1">
        <f>K2*0.12</f>
        <v>2976</v>
      </c>
      <c r="M2" s="9" t="s">
        <v>26</v>
      </c>
      <c r="N2" s="9">
        <v>0</v>
      </c>
      <c r="O2" s="9"/>
      <c r="P2" s="34">
        <f>L2</f>
        <v>2976</v>
      </c>
      <c r="Q2" s="42" t="s">
        <v>27</v>
      </c>
      <c r="R2" s="42" t="s">
        <v>27</v>
      </c>
      <c r="S2" s="20">
        <v>44956</v>
      </c>
      <c r="T2" s="226">
        <v>1002246</v>
      </c>
      <c r="U2" s="32" t="s">
        <v>44</v>
      </c>
      <c r="V2" s="6"/>
    </row>
    <row r="3" spans="1:23" ht="18" customHeight="1" x14ac:dyDescent="0.3">
      <c r="A3" s="6"/>
      <c r="B3" s="233" t="s">
        <v>386</v>
      </c>
      <c r="C3" s="32" t="s">
        <v>387</v>
      </c>
      <c r="D3" s="32" t="s">
        <v>388</v>
      </c>
      <c r="E3" s="20">
        <v>44936</v>
      </c>
      <c r="F3" s="33" t="s">
        <v>44</v>
      </c>
      <c r="G3" s="6" t="s">
        <v>213</v>
      </c>
      <c r="H3" s="6" t="s">
        <v>46</v>
      </c>
      <c r="I3" s="6"/>
      <c r="J3" s="9" t="s">
        <v>47</v>
      </c>
      <c r="K3" s="9">
        <v>22560</v>
      </c>
      <c r="L3" s="9">
        <f>K3*0.12</f>
        <v>2707.2</v>
      </c>
      <c r="M3" s="9" t="s">
        <v>72</v>
      </c>
      <c r="N3" s="9">
        <f>L3*0.8</f>
        <v>2165.7599999999998</v>
      </c>
      <c r="O3" s="47" t="s">
        <v>27</v>
      </c>
      <c r="P3" s="34">
        <f>L3*0.2</f>
        <v>541.43999999999994</v>
      </c>
      <c r="Q3" s="42" t="s">
        <v>27</v>
      </c>
      <c r="R3" s="42" t="s">
        <v>27</v>
      </c>
      <c r="S3" s="43">
        <v>44943</v>
      </c>
      <c r="T3" s="41">
        <v>1002246</v>
      </c>
      <c r="U3" s="6" t="s">
        <v>44</v>
      </c>
      <c r="V3" s="6"/>
    </row>
    <row r="4" spans="1:23" ht="18" customHeight="1" x14ac:dyDescent="0.3">
      <c r="A4" s="6"/>
      <c r="B4" s="233" t="s">
        <v>386</v>
      </c>
      <c r="C4" s="6" t="s">
        <v>42</v>
      </c>
      <c r="D4" s="32" t="s">
        <v>389</v>
      </c>
      <c r="E4" s="20">
        <v>44936</v>
      </c>
      <c r="F4" s="33" t="s">
        <v>44</v>
      </c>
      <c r="G4" s="6" t="s">
        <v>83</v>
      </c>
      <c r="H4" s="6" t="s">
        <v>46</v>
      </c>
      <c r="I4" s="6"/>
      <c r="J4" s="9" t="s">
        <v>47</v>
      </c>
      <c r="K4" s="9">
        <v>45625</v>
      </c>
      <c r="L4" s="9">
        <f>K4*0.12</f>
        <v>5475</v>
      </c>
      <c r="M4" s="9" t="s">
        <v>72</v>
      </c>
      <c r="N4" s="9">
        <f>L4*0.8</f>
        <v>4380</v>
      </c>
      <c r="O4" s="47" t="s">
        <v>27</v>
      </c>
      <c r="P4" s="34">
        <f>L4*0.2</f>
        <v>1095</v>
      </c>
      <c r="Q4" s="42" t="s">
        <v>27</v>
      </c>
      <c r="R4" s="42" t="s">
        <v>27</v>
      </c>
      <c r="S4" s="20">
        <v>44943</v>
      </c>
      <c r="T4" s="41">
        <v>1002246</v>
      </c>
      <c r="U4" s="6" t="s">
        <v>44</v>
      </c>
      <c r="V4" s="6"/>
    </row>
    <row r="5" spans="1:23" ht="18" customHeight="1" x14ac:dyDescent="0.3">
      <c r="A5" s="6" t="s">
        <v>390</v>
      </c>
      <c r="B5" s="32" t="s">
        <v>391</v>
      </c>
      <c r="C5" s="46" t="s">
        <v>392</v>
      </c>
      <c r="D5" s="218" t="s">
        <v>393</v>
      </c>
      <c r="E5" s="29" t="s">
        <v>394</v>
      </c>
      <c r="F5" s="33" t="s">
        <v>395</v>
      </c>
      <c r="G5" s="6" t="s">
        <v>71</v>
      </c>
      <c r="H5" s="6" t="s">
        <v>155</v>
      </c>
      <c r="I5" s="6"/>
      <c r="J5" s="9" t="s">
        <v>25</v>
      </c>
      <c r="K5" s="9">
        <v>257518.66250000001</v>
      </c>
      <c r="L5" s="9">
        <v>38627.799375000002</v>
      </c>
      <c r="M5" s="9" t="s">
        <v>26</v>
      </c>
      <c r="N5" s="9"/>
      <c r="O5" s="34"/>
      <c r="P5" s="34">
        <f>L5</f>
        <v>38627.799375000002</v>
      </c>
      <c r="Q5" s="42" t="s">
        <v>27</v>
      </c>
      <c r="R5" s="42" t="s">
        <v>27</v>
      </c>
      <c r="S5" s="20">
        <v>44926</v>
      </c>
      <c r="T5" s="6" t="s">
        <v>367</v>
      </c>
      <c r="U5" s="6" t="s">
        <v>44</v>
      </c>
      <c r="V5" s="6"/>
    </row>
    <row r="6" spans="1:23" ht="18" customHeight="1" x14ac:dyDescent="0.3">
      <c r="A6" s="6" t="s">
        <v>396</v>
      </c>
      <c r="B6" s="32" t="s">
        <v>396</v>
      </c>
      <c r="C6" s="46" t="s">
        <v>397</v>
      </c>
      <c r="D6" s="219" t="s">
        <v>398</v>
      </c>
      <c r="E6" s="29" t="s">
        <v>394</v>
      </c>
      <c r="F6" s="33" t="s">
        <v>395</v>
      </c>
      <c r="G6" s="6" t="s">
        <v>71</v>
      </c>
      <c r="H6" s="6" t="s">
        <v>155</v>
      </c>
      <c r="I6" s="6"/>
      <c r="J6" s="9" t="s">
        <v>25</v>
      </c>
      <c r="K6" s="9">
        <v>273516.03000000003</v>
      </c>
      <c r="L6" s="9">
        <v>49232.885400000006</v>
      </c>
      <c r="M6" s="9" t="s">
        <v>26</v>
      </c>
      <c r="N6" s="9"/>
      <c r="O6" s="34"/>
      <c r="P6" s="34">
        <f>L6</f>
        <v>49232.885400000006</v>
      </c>
      <c r="Q6" s="42" t="s">
        <v>27</v>
      </c>
      <c r="R6" s="42" t="s">
        <v>27</v>
      </c>
      <c r="S6" s="20">
        <v>44926</v>
      </c>
      <c r="T6" s="6" t="s">
        <v>367</v>
      </c>
      <c r="U6" s="6" t="s">
        <v>44</v>
      </c>
      <c r="V6" s="6"/>
    </row>
    <row r="7" spans="1:23" ht="18" customHeight="1" x14ac:dyDescent="0.3">
      <c r="A7" s="6" t="s">
        <v>399</v>
      </c>
      <c r="B7" s="6" t="s">
        <v>399</v>
      </c>
      <c r="C7" s="225" t="s">
        <v>400</v>
      </c>
      <c r="D7" s="219" t="s">
        <v>401</v>
      </c>
      <c r="E7" s="29" t="s">
        <v>402</v>
      </c>
      <c r="F7" s="33" t="s">
        <v>395</v>
      </c>
      <c r="G7" s="6" t="s">
        <v>71</v>
      </c>
      <c r="H7" s="6" t="s">
        <v>24</v>
      </c>
      <c r="I7" s="6"/>
      <c r="J7" s="9" t="s">
        <v>25</v>
      </c>
      <c r="K7" s="9">
        <v>273516.03000000003</v>
      </c>
      <c r="L7" s="9">
        <v>49232.885400000006</v>
      </c>
      <c r="M7" s="9" t="s">
        <v>26</v>
      </c>
      <c r="N7" s="9">
        <v>0</v>
      </c>
      <c r="O7" s="34"/>
      <c r="P7" s="34">
        <f>L7</f>
        <v>49232.885400000006</v>
      </c>
      <c r="Q7" s="42" t="s">
        <v>27</v>
      </c>
      <c r="R7" s="42" t="s">
        <v>27</v>
      </c>
      <c r="S7" s="20">
        <v>44926</v>
      </c>
      <c r="T7" s="6" t="s">
        <v>367</v>
      </c>
      <c r="U7" s="6" t="s">
        <v>44</v>
      </c>
      <c r="V7" s="6"/>
      <c r="W7" s="231"/>
    </row>
    <row r="8" spans="1:23" ht="18" customHeight="1" x14ac:dyDescent="0.3">
      <c r="A8" s="6" t="s">
        <v>403</v>
      </c>
      <c r="B8" s="6" t="s">
        <v>249</v>
      </c>
      <c r="C8" s="225" t="s">
        <v>404</v>
      </c>
      <c r="D8" s="219" t="s">
        <v>405</v>
      </c>
      <c r="E8" s="29" t="s">
        <v>402</v>
      </c>
      <c r="F8" s="33" t="s">
        <v>395</v>
      </c>
      <c r="G8" s="6" t="s">
        <v>71</v>
      </c>
      <c r="H8" s="6" t="s">
        <v>24</v>
      </c>
      <c r="I8" s="6"/>
      <c r="J8" s="9" t="s">
        <v>25</v>
      </c>
      <c r="K8" s="9">
        <v>273516.03000000003</v>
      </c>
      <c r="L8" s="9">
        <v>49232.885400000006</v>
      </c>
      <c r="M8" s="9" t="s">
        <v>26</v>
      </c>
      <c r="N8" s="9">
        <v>0</v>
      </c>
      <c r="O8" s="34"/>
      <c r="P8" s="34">
        <f>L8</f>
        <v>49232.885400000006</v>
      </c>
      <c r="Q8" s="42" t="s">
        <v>27</v>
      </c>
      <c r="R8" s="42" t="s">
        <v>27</v>
      </c>
      <c r="S8" s="20">
        <v>44926</v>
      </c>
      <c r="T8" s="6" t="s">
        <v>367</v>
      </c>
      <c r="U8" s="6" t="s">
        <v>44</v>
      </c>
      <c r="V8" s="6"/>
      <c r="W8" s="231"/>
    </row>
    <row r="9" spans="1:23" ht="18" customHeight="1" x14ac:dyDescent="0.3">
      <c r="A9" s="6" t="s">
        <v>406</v>
      </c>
      <c r="B9" s="234" t="s">
        <v>406</v>
      </c>
      <c r="C9" s="32" t="s">
        <v>42</v>
      </c>
      <c r="D9" s="219" t="s">
        <v>407</v>
      </c>
      <c r="E9" s="29" t="s">
        <v>408</v>
      </c>
      <c r="F9" s="33" t="s">
        <v>395</v>
      </c>
      <c r="G9" s="6" t="s">
        <v>53</v>
      </c>
      <c r="H9" s="6" t="s">
        <v>24</v>
      </c>
      <c r="I9" s="6"/>
      <c r="J9" s="9" t="s">
        <v>25</v>
      </c>
      <c r="K9" s="9">
        <v>76553.337499999994</v>
      </c>
      <c r="L9" s="9">
        <v>11483.000624999999</v>
      </c>
      <c r="M9" s="9" t="s">
        <v>26</v>
      </c>
      <c r="N9" s="9">
        <v>0</v>
      </c>
      <c r="O9" s="9"/>
      <c r="P9" s="34">
        <v>11483.000624999999</v>
      </c>
      <c r="Q9" s="42" t="s">
        <v>27</v>
      </c>
      <c r="R9" s="42" t="s">
        <v>27</v>
      </c>
      <c r="S9" s="20">
        <v>44926</v>
      </c>
      <c r="T9" s="32" t="s">
        <v>367</v>
      </c>
      <c r="U9" s="6" t="s">
        <v>44</v>
      </c>
      <c r="V9" s="6"/>
      <c r="W9" s="231"/>
    </row>
    <row r="10" spans="1:23" ht="18" customHeight="1" x14ac:dyDescent="0.3">
      <c r="A10" s="6" t="s">
        <v>409</v>
      </c>
      <c r="B10" s="6" t="s">
        <v>409</v>
      </c>
      <c r="C10" s="207" t="s">
        <v>410</v>
      </c>
      <c r="D10" s="219" t="s">
        <v>411</v>
      </c>
      <c r="E10" s="29" t="s">
        <v>412</v>
      </c>
      <c r="F10" s="33" t="s">
        <v>395</v>
      </c>
      <c r="G10" s="6" t="s">
        <v>413</v>
      </c>
      <c r="H10" s="6" t="s">
        <v>24</v>
      </c>
      <c r="I10" s="6"/>
      <c r="J10" s="9" t="s">
        <v>25</v>
      </c>
      <c r="K10" s="9">
        <v>48935</v>
      </c>
      <c r="L10" s="9">
        <v>7340.25</v>
      </c>
      <c r="M10" s="9" t="s">
        <v>26</v>
      </c>
      <c r="N10" s="9">
        <v>0</v>
      </c>
      <c r="O10" s="9"/>
      <c r="P10" s="34">
        <v>7340.25</v>
      </c>
      <c r="Q10" s="42" t="s">
        <v>27</v>
      </c>
      <c r="R10" s="42" t="s">
        <v>27</v>
      </c>
      <c r="S10" s="20">
        <v>44926</v>
      </c>
      <c r="T10" s="32" t="s">
        <v>367</v>
      </c>
      <c r="U10" s="6" t="s">
        <v>44</v>
      </c>
      <c r="V10" s="6"/>
      <c r="W10" s="231"/>
    </row>
    <row r="11" spans="1:23" ht="18" customHeight="1" x14ac:dyDescent="0.3">
      <c r="A11" s="6" t="s">
        <v>414</v>
      </c>
      <c r="B11" s="6" t="s">
        <v>414</v>
      </c>
      <c r="C11" s="207" t="s">
        <v>415</v>
      </c>
      <c r="D11" s="219" t="s">
        <v>416</v>
      </c>
      <c r="E11" s="29" t="s">
        <v>394</v>
      </c>
      <c r="F11" s="33" t="s">
        <v>395</v>
      </c>
      <c r="G11" s="6" t="s">
        <v>57</v>
      </c>
      <c r="H11" s="6" t="s">
        <v>118</v>
      </c>
      <c r="I11" s="6" t="s">
        <v>417</v>
      </c>
      <c r="J11" s="9" t="s">
        <v>25</v>
      </c>
      <c r="K11" s="9">
        <v>1547079.76</v>
      </c>
      <c r="L11" s="9">
        <v>232061.96400000001</v>
      </c>
      <c r="M11" s="9" t="s">
        <v>79</v>
      </c>
      <c r="N11" s="9">
        <f>L11*0.4</f>
        <v>92824.785600000003</v>
      </c>
      <c r="O11" s="232" t="s">
        <v>27</v>
      </c>
      <c r="P11" s="34">
        <f>L11*0.6</f>
        <v>139237.1784</v>
      </c>
      <c r="Q11" s="42" t="s">
        <v>27</v>
      </c>
      <c r="R11" s="42" t="s">
        <v>27</v>
      </c>
      <c r="S11" s="20">
        <v>44926</v>
      </c>
      <c r="T11" s="6" t="s">
        <v>367</v>
      </c>
      <c r="U11" s="6" t="s">
        <v>44</v>
      </c>
      <c r="V11" s="6"/>
      <c r="W11" s="231"/>
    </row>
    <row r="12" spans="1:23" ht="18" customHeight="1" x14ac:dyDescent="0.3">
      <c r="A12" s="30" t="s">
        <v>418</v>
      </c>
      <c r="B12" s="46" t="s">
        <v>418</v>
      </c>
      <c r="C12" s="207" t="s">
        <v>419</v>
      </c>
      <c r="D12" s="219" t="s">
        <v>420</v>
      </c>
      <c r="E12" s="20">
        <v>44915</v>
      </c>
      <c r="F12" s="33" t="s">
        <v>44</v>
      </c>
      <c r="G12" s="6" t="s">
        <v>57</v>
      </c>
      <c r="H12" s="6" t="s">
        <v>46</v>
      </c>
      <c r="I12" s="6"/>
      <c r="J12" s="9" t="s">
        <v>25</v>
      </c>
      <c r="K12" s="9">
        <v>341238.8</v>
      </c>
      <c r="L12" s="9">
        <f>K12*0.2212</f>
        <v>75482.022559999998</v>
      </c>
      <c r="M12" s="9" t="s">
        <v>79</v>
      </c>
      <c r="N12" s="9">
        <f>L12*0.3886722</f>
        <v>29337.763768844834</v>
      </c>
      <c r="O12" s="47" t="s">
        <v>27</v>
      </c>
      <c r="P12" s="34">
        <f>L12*0.6113278</f>
        <v>46144.258791155167</v>
      </c>
      <c r="Q12" s="42" t="s">
        <v>27</v>
      </c>
      <c r="R12" s="42" t="s">
        <v>27</v>
      </c>
      <c r="S12" s="20">
        <v>44942</v>
      </c>
      <c r="T12" s="41" t="s">
        <v>421</v>
      </c>
      <c r="U12" s="6" t="s">
        <v>44</v>
      </c>
      <c r="V12" s="6"/>
      <c r="W12" s="231"/>
    </row>
    <row r="13" spans="1:23" ht="18" customHeight="1" x14ac:dyDescent="0.3">
      <c r="A13" s="6" t="s">
        <v>418</v>
      </c>
      <c r="B13" s="6" t="s">
        <v>418</v>
      </c>
      <c r="C13" s="207" t="s">
        <v>422</v>
      </c>
      <c r="D13" s="219" t="s">
        <v>420</v>
      </c>
      <c r="E13" s="20">
        <v>44937</v>
      </c>
      <c r="F13" s="33" t="s">
        <v>44</v>
      </c>
      <c r="G13" s="6" t="s">
        <v>57</v>
      </c>
      <c r="H13" s="6" t="s">
        <v>46</v>
      </c>
      <c r="I13" s="6"/>
      <c r="J13" s="9" t="s">
        <v>25</v>
      </c>
      <c r="K13" s="9">
        <v>1175721.8500000001</v>
      </c>
      <c r="L13" s="9">
        <f>K13*0.18</f>
        <v>211629.93300000002</v>
      </c>
      <c r="M13" s="9" t="s">
        <v>79</v>
      </c>
      <c r="N13" s="9">
        <f>L13*0.5</f>
        <v>105814.96650000001</v>
      </c>
      <c r="O13" s="47" t="s">
        <v>27</v>
      </c>
      <c r="P13" s="34">
        <f>L13*0.5</f>
        <v>105814.96650000001</v>
      </c>
      <c r="Q13" s="42" t="s">
        <v>27</v>
      </c>
      <c r="R13" s="42" t="s">
        <v>27</v>
      </c>
      <c r="S13" s="20">
        <v>44949</v>
      </c>
      <c r="T13" s="32" t="s">
        <v>423</v>
      </c>
      <c r="U13" s="6" t="s">
        <v>44</v>
      </c>
      <c r="V13" s="6"/>
      <c r="W13" s="231"/>
    </row>
    <row r="14" spans="1:23" ht="18" customHeight="1" x14ac:dyDescent="0.3">
      <c r="A14" s="6" t="s">
        <v>424</v>
      </c>
      <c r="B14" s="6" t="s">
        <v>424</v>
      </c>
      <c r="C14" s="207" t="s">
        <v>425</v>
      </c>
      <c r="D14" s="217">
        <v>1029501</v>
      </c>
      <c r="E14" s="20">
        <v>44964</v>
      </c>
      <c r="F14" s="33" t="s">
        <v>54</v>
      </c>
      <c r="G14" s="6" t="s">
        <v>57</v>
      </c>
      <c r="H14" s="6" t="s">
        <v>118</v>
      </c>
      <c r="I14" s="6" t="s">
        <v>417</v>
      </c>
      <c r="J14" s="9" t="s">
        <v>25</v>
      </c>
      <c r="K14" s="9">
        <v>341238.8</v>
      </c>
      <c r="L14" s="9">
        <f>K14*0.2212</f>
        <v>75482.022559999998</v>
      </c>
      <c r="M14" s="9" t="s">
        <v>79</v>
      </c>
      <c r="N14" s="9">
        <f>L14*0.3886722</f>
        <v>29337.763768844834</v>
      </c>
      <c r="O14" s="232" t="s">
        <v>27</v>
      </c>
      <c r="P14" s="34">
        <f>L14*0.6113278</f>
        <v>46144.258791155167</v>
      </c>
      <c r="Q14" s="42" t="s">
        <v>27</v>
      </c>
      <c r="R14" s="42" t="s">
        <v>27</v>
      </c>
      <c r="S14" s="20">
        <v>44978</v>
      </c>
      <c r="T14" s="32" t="s">
        <v>426</v>
      </c>
      <c r="U14" s="41" t="s">
        <v>54</v>
      </c>
      <c r="V14" s="6"/>
      <c r="W14" s="231"/>
    </row>
    <row r="15" spans="1:23" ht="18" customHeight="1" x14ac:dyDescent="0.3">
      <c r="A15" s="30" t="s">
        <v>418</v>
      </c>
      <c r="B15" s="46" t="s">
        <v>418</v>
      </c>
      <c r="C15" s="207" t="s">
        <v>427</v>
      </c>
      <c r="D15" s="217">
        <v>1014401</v>
      </c>
      <c r="E15" s="20">
        <v>44944</v>
      </c>
      <c r="F15" s="33" t="s">
        <v>44</v>
      </c>
      <c r="G15" s="6" t="s">
        <v>57</v>
      </c>
      <c r="H15" s="6" t="s">
        <v>46</v>
      </c>
      <c r="I15" s="6"/>
      <c r="J15" s="9" t="s">
        <v>25</v>
      </c>
      <c r="K15" s="9">
        <v>893727.12</v>
      </c>
      <c r="L15" s="9">
        <f>K15*0.15</f>
        <v>134059.068</v>
      </c>
      <c r="M15" s="9" t="s">
        <v>79</v>
      </c>
      <c r="N15" s="9">
        <f>L15*0.5</f>
        <v>67029.534</v>
      </c>
      <c r="O15" s="42" t="s">
        <v>27</v>
      </c>
      <c r="P15" s="34">
        <f>L15*0.5</f>
        <v>67029.534</v>
      </c>
      <c r="Q15" s="42" t="s">
        <v>27</v>
      </c>
      <c r="R15" s="42" t="s">
        <v>27</v>
      </c>
      <c r="S15" s="20">
        <v>44971</v>
      </c>
      <c r="T15" s="217" t="s">
        <v>428</v>
      </c>
      <c r="U15" s="6" t="s">
        <v>54</v>
      </c>
      <c r="V15" s="6"/>
    </row>
    <row r="16" spans="1:23" ht="18" customHeight="1" x14ac:dyDescent="0.3">
      <c r="A16" s="6" t="s">
        <v>429</v>
      </c>
      <c r="B16" s="6" t="s">
        <v>429</v>
      </c>
      <c r="C16" s="207" t="s">
        <v>430</v>
      </c>
      <c r="D16" s="217">
        <v>1014501</v>
      </c>
      <c r="E16" s="20">
        <v>44944</v>
      </c>
      <c r="F16" s="222" t="s">
        <v>44</v>
      </c>
      <c r="G16" s="6" t="s">
        <v>71</v>
      </c>
      <c r="H16" s="6" t="s">
        <v>24</v>
      </c>
      <c r="I16" s="6"/>
      <c r="J16" s="9" t="s">
        <v>25</v>
      </c>
      <c r="K16" s="9">
        <v>1659583.52</v>
      </c>
      <c r="L16" s="9">
        <f>K16*0.18</f>
        <v>298725.03359999997</v>
      </c>
      <c r="M16" s="9" t="s">
        <v>79</v>
      </c>
      <c r="N16" s="9">
        <f>L16*0.4</f>
        <v>119490.01344</v>
      </c>
      <c r="O16" s="9"/>
      <c r="P16" s="34">
        <f>L16*0.6</f>
        <v>179235.02015999999</v>
      </c>
      <c r="Q16" s="42" t="s">
        <v>27</v>
      </c>
      <c r="R16" s="42" t="s">
        <v>27</v>
      </c>
      <c r="S16" s="20">
        <v>44957</v>
      </c>
      <c r="T16" s="32" t="s">
        <v>431</v>
      </c>
      <c r="U16" s="6" t="s">
        <v>54</v>
      </c>
      <c r="V16" s="6"/>
    </row>
    <row r="17" spans="1:22" ht="18" customHeight="1" x14ac:dyDescent="0.3">
      <c r="A17" s="6" t="s">
        <v>432</v>
      </c>
      <c r="B17" s="6" t="s">
        <v>433</v>
      </c>
      <c r="C17" s="207" t="s">
        <v>434</v>
      </c>
      <c r="D17" s="217">
        <v>1035401</v>
      </c>
      <c r="E17" s="20">
        <v>44972</v>
      </c>
      <c r="F17" s="33" t="s">
        <v>54</v>
      </c>
      <c r="G17" s="6" t="s">
        <v>57</v>
      </c>
      <c r="H17" s="6" t="s">
        <v>24</v>
      </c>
      <c r="I17" s="6"/>
      <c r="J17" s="9" t="s">
        <v>25</v>
      </c>
      <c r="K17" s="9">
        <v>213198.6</v>
      </c>
      <c r="L17" s="9">
        <f>K17*0.18</f>
        <v>38375.748</v>
      </c>
      <c r="M17" s="9" t="s">
        <v>79</v>
      </c>
      <c r="N17" s="9">
        <f>L17*0.5</f>
        <v>19187.874</v>
      </c>
      <c r="O17" s="34"/>
      <c r="P17" s="34">
        <f>L17*0.5</f>
        <v>19187.874</v>
      </c>
      <c r="Q17" s="42" t="s">
        <v>27</v>
      </c>
      <c r="R17" s="42" t="s">
        <v>27</v>
      </c>
      <c r="S17" s="20">
        <v>44978</v>
      </c>
      <c r="T17" s="32" t="s">
        <v>426</v>
      </c>
      <c r="U17" s="6" t="s">
        <v>54</v>
      </c>
      <c r="V17" s="6"/>
    </row>
    <row r="18" spans="1:22" ht="18" customHeight="1" x14ac:dyDescent="0.3">
      <c r="A18" s="6" t="s">
        <v>435</v>
      </c>
      <c r="B18" s="6" t="s">
        <v>435</v>
      </c>
      <c r="C18" s="207" t="s">
        <v>436</v>
      </c>
      <c r="D18" s="217">
        <v>1031101</v>
      </c>
      <c r="E18" s="20">
        <v>44965</v>
      </c>
      <c r="F18" s="33" t="s">
        <v>54</v>
      </c>
      <c r="G18" s="6" t="s">
        <v>71</v>
      </c>
      <c r="H18" s="6" t="s">
        <v>155</v>
      </c>
      <c r="I18" s="6"/>
      <c r="J18" s="9" t="s">
        <v>25</v>
      </c>
      <c r="K18" s="9">
        <v>982842.2</v>
      </c>
      <c r="L18" s="9">
        <f>K18*0.18</f>
        <v>176911.59599999999</v>
      </c>
      <c r="M18" s="9" t="s">
        <v>79</v>
      </c>
      <c r="N18" s="9">
        <f>L18*0.4</f>
        <v>70764.638399999996</v>
      </c>
      <c r="O18" s="34"/>
      <c r="P18" s="34">
        <f>L18*0.6</f>
        <v>106146.95759999999</v>
      </c>
      <c r="Q18" s="42" t="s">
        <v>27</v>
      </c>
      <c r="R18" s="42" t="s">
        <v>27</v>
      </c>
      <c r="S18" s="20">
        <v>44978</v>
      </c>
      <c r="T18" s="32" t="s">
        <v>426</v>
      </c>
      <c r="U18" s="6" t="s">
        <v>54</v>
      </c>
      <c r="V18" s="6"/>
    </row>
    <row r="19" spans="1:22" ht="18" customHeight="1" x14ac:dyDescent="0.3">
      <c r="A19" s="6" t="s">
        <v>437</v>
      </c>
      <c r="B19" s="6" t="s">
        <v>437</v>
      </c>
      <c r="C19" s="46" t="s">
        <v>438</v>
      </c>
      <c r="D19" s="217">
        <v>1017801</v>
      </c>
      <c r="E19" s="20">
        <v>44950</v>
      </c>
      <c r="F19" s="33" t="s">
        <v>44</v>
      </c>
      <c r="G19" s="6" t="s">
        <v>57</v>
      </c>
      <c r="H19" s="6" t="s">
        <v>46</v>
      </c>
      <c r="I19" s="6"/>
      <c r="J19" s="9" t="s">
        <v>25</v>
      </c>
      <c r="K19" s="9">
        <v>1142945.17</v>
      </c>
      <c r="L19" s="9">
        <f>K19*0.15</f>
        <v>171441.77549999999</v>
      </c>
      <c r="M19" s="9" t="s">
        <v>79</v>
      </c>
      <c r="N19" s="9">
        <f>L19*0.5</f>
        <v>85720.887749999994</v>
      </c>
      <c r="O19" s="47" t="s">
        <v>27</v>
      </c>
      <c r="P19" s="34">
        <f>L19*0.5</f>
        <v>85720.887749999994</v>
      </c>
      <c r="Q19" s="42" t="s">
        <v>27</v>
      </c>
      <c r="R19" s="42" t="s">
        <v>27</v>
      </c>
      <c r="S19" s="20">
        <v>44971</v>
      </c>
      <c r="T19" s="6" t="s">
        <v>428</v>
      </c>
      <c r="U19" s="6" t="s">
        <v>54</v>
      </c>
      <c r="V19" s="6"/>
    </row>
    <row r="20" spans="1:22" ht="18" customHeight="1" x14ac:dyDescent="0.3">
      <c r="A20" s="6" t="s">
        <v>439</v>
      </c>
      <c r="B20" s="6" t="s">
        <v>439</v>
      </c>
      <c r="C20" s="46" t="s">
        <v>440</v>
      </c>
      <c r="D20" s="32" t="s">
        <v>441</v>
      </c>
      <c r="E20" s="20">
        <v>44936</v>
      </c>
      <c r="F20" s="33" t="s">
        <v>44</v>
      </c>
      <c r="G20" s="6" t="s">
        <v>57</v>
      </c>
      <c r="H20" s="6" t="s">
        <v>78</v>
      </c>
      <c r="I20" s="6"/>
      <c r="J20" s="9" t="s">
        <v>47</v>
      </c>
      <c r="K20" s="9">
        <v>546431.22</v>
      </c>
      <c r="L20" s="9">
        <f>K20*0.18</f>
        <v>98357.619599999991</v>
      </c>
      <c r="M20" s="9" t="s">
        <v>79</v>
      </c>
      <c r="N20" s="9">
        <f>L20*0.5</f>
        <v>49178.809799999995</v>
      </c>
      <c r="O20" s="174" t="s">
        <v>340</v>
      </c>
      <c r="P20" s="34">
        <f>L20*0.5</f>
        <v>49178.809799999995</v>
      </c>
      <c r="Q20" s="42" t="s">
        <v>27</v>
      </c>
      <c r="R20" s="42" t="s">
        <v>27</v>
      </c>
      <c r="S20" s="20">
        <v>44965</v>
      </c>
      <c r="T20" s="32" t="s">
        <v>442</v>
      </c>
      <c r="U20" s="6" t="s">
        <v>54</v>
      </c>
      <c r="V20" s="6"/>
    </row>
    <row r="21" spans="1:22" ht="18" customHeight="1" x14ac:dyDescent="0.3">
      <c r="A21" s="6" t="s">
        <v>439</v>
      </c>
      <c r="B21" s="6" t="s">
        <v>439</v>
      </c>
      <c r="C21" s="228" t="s">
        <v>440</v>
      </c>
      <c r="D21" s="217" t="s">
        <v>443</v>
      </c>
      <c r="E21" s="20">
        <v>44936</v>
      </c>
      <c r="F21" s="33" t="s">
        <v>44</v>
      </c>
      <c r="G21" s="6" t="s">
        <v>213</v>
      </c>
      <c r="H21" s="6" t="s">
        <v>78</v>
      </c>
      <c r="I21" s="6"/>
      <c r="J21" s="9" t="s">
        <v>47</v>
      </c>
      <c r="K21" s="9">
        <v>509508.46</v>
      </c>
      <c r="L21" s="9">
        <f>K21*0.2473</f>
        <v>126001.44215800001</v>
      </c>
      <c r="M21" s="9" t="s">
        <v>79</v>
      </c>
      <c r="N21" s="9">
        <f>L21*0.5</f>
        <v>63000.721079000003</v>
      </c>
      <c r="O21" s="47" t="s">
        <v>27</v>
      </c>
      <c r="P21" s="34">
        <f>L21*0.5</f>
        <v>63000.721079000003</v>
      </c>
      <c r="Q21" s="42" t="s">
        <v>27</v>
      </c>
      <c r="R21" s="42" t="s">
        <v>27</v>
      </c>
      <c r="S21" s="20">
        <v>44965</v>
      </c>
      <c r="T21" s="32" t="s">
        <v>442</v>
      </c>
      <c r="U21" s="6" t="s">
        <v>54</v>
      </c>
      <c r="V21" s="6"/>
    </row>
    <row r="22" spans="1:22" ht="18" customHeight="1" x14ac:dyDescent="0.3">
      <c r="A22" s="6" t="s">
        <v>424</v>
      </c>
      <c r="B22" s="6" t="s">
        <v>424</v>
      </c>
      <c r="C22" s="207" t="s">
        <v>425</v>
      </c>
      <c r="D22" s="217">
        <v>1031201</v>
      </c>
      <c r="E22" s="20">
        <v>44965</v>
      </c>
      <c r="F22" s="33" t="s">
        <v>54</v>
      </c>
      <c r="G22" s="6" t="s">
        <v>71</v>
      </c>
      <c r="H22" s="6" t="s">
        <v>155</v>
      </c>
      <c r="I22" s="6"/>
      <c r="J22" s="6" t="s">
        <v>25</v>
      </c>
      <c r="K22" s="9">
        <v>253323.42</v>
      </c>
      <c r="L22" s="9">
        <f>K22*0.18</f>
        <v>45598.215600000003</v>
      </c>
      <c r="M22" s="9" t="s">
        <v>26</v>
      </c>
      <c r="N22" s="9"/>
      <c r="O22" s="34"/>
      <c r="P22" s="34">
        <f>L22</f>
        <v>45598.215600000003</v>
      </c>
      <c r="Q22" s="42" t="s">
        <v>27</v>
      </c>
      <c r="R22" s="42" t="s">
        <v>27</v>
      </c>
      <c r="S22" s="20">
        <v>44998</v>
      </c>
      <c r="T22" s="32" t="s">
        <v>444</v>
      </c>
      <c r="U22" s="6" t="s">
        <v>28</v>
      </c>
      <c r="V22" s="6"/>
    </row>
    <row r="23" spans="1:22" ht="18" customHeight="1" x14ac:dyDescent="0.3">
      <c r="A23" s="6"/>
      <c r="B23" s="46" t="s">
        <v>445</v>
      </c>
      <c r="C23" s="207" t="s">
        <v>446</v>
      </c>
      <c r="D23" s="217">
        <v>1020701</v>
      </c>
      <c r="E23" s="20">
        <v>44956</v>
      </c>
      <c r="F23" s="33" t="s">
        <v>44</v>
      </c>
      <c r="G23" s="6" t="s">
        <v>57</v>
      </c>
      <c r="H23" s="6" t="s">
        <v>24</v>
      </c>
      <c r="I23" s="6"/>
      <c r="J23" s="9" t="s">
        <v>25</v>
      </c>
      <c r="K23" s="9">
        <v>1365950.7</v>
      </c>
      <c r="L23" s="9">
        <f>K23*0.15</f>
        <v>204892.60499999998</v>
      </c>
      <c r="M23" s="9" t="s">
        <v>26</v>
      </c>
      <c r="N23" s="9">
        <v>0</v>
      </c>
      <c r="O23" s="9"/>
      <c r="P23" s="34">
        <f>L23</f>
        <v>204892.60499999998</v>
      </c>
      <c r="Q23" s="42" t="s">
        <v>27</v>
      </c>
      <c r="R23" s="42" t="s">
        <v>27</v>
      </c>
      <c r="S23" s="20">
        <v>44992</v>
      </c>
      <c r="T23" s="6" t="s">
        <v>447</v>
      </c>
      <c r="U23" s="6" t="s">
        <v>28</v>
      </c>
      <c r="V23" s="6"/>
    </row>
    <row r="24" spans="1:22" ht="18" customHeight="1" x14ac:dyDescent="0.3">
      <c r="A24" s="6" t="s">
        <v>448</v>
      </c>
      <c r="B24" s="46" t="s">
        <v>445</v>
      </c>
      <c r="C24" s="207" t="s">
        <v>446</v>
      </c>
      <c r="D24" s="217">
        <v>1061501</v>
      </c>
      <c r="E24" s="20">
        <v>44999</v>
      </c>
      <c r="F24" s="33" t="s">
        <v>28</v>
      </c>
      <c r="G24" s="6" t="s">
        <v>71</v>
      </c>
      <c r="H24" s="6" t="s">
        <v>24</v>
      </c>
      <c r="I24" s="6"/>
      <c r="J24" s="9" t="s">
        <v>25</v>
      </c>
      <c r="K24" s="9">
        <v>281504.77</v>
      </c>
      <c r="L24" s="9">
        <f>K24*0.15</f>
        <v>42225.715499999998</v>
      </c>
      <c r="M24" s="9" t="s">
        <v>26</v>
      </c>
      <c r="N24" s="9">
        <v>0</v>
      </c>
      <c r="O24" s="9"/>
      <c r="P24" s="34">
        <f>L24</f>
        <v>42225.715499999998</v>
      </c>
      <c r="Q24" s="42" t="s">
        <v>27</v>
      </c>
      <c r="R24" s="42" t="s">
        <v>27</v>
      </c>
      <c r="S24" s="20">
        <v>45007</v>
      </c>
      <c r="T24" s="6" t="s">
        <v>449</v>
      </c>
      <c r="U24" s="6" t="s">
        <v>28</v>
      </c>
      <c r="V24" s="6"/>
    </row>
    <row r="25" spans="1:22" ht="18" customHeight="1" x14ac:dyDescent="0.3">
      <c r="A25" s="6" t="s">
        <v>450</v>
      </c>
      <c r="B25" s="6" t="s">
        <v>450</v>
      </c>
      <c r="C25" s="207" t="s">
        <v>451</v>
      </c>
      <c r="D25" s="32" t="s">
        <v>452</v>
      </c>
      <c r="E25" s="20">
        <v>44985</v>
      </c>
      <c r="F25" s="33" t="s">
        <v>54</v>
      </c>
      <c r="G25" s="6" t="s">
        <v>57</v>
      </c>
      <c r="H25" s="6" t="s">
        <v>78</v>
      </c>
      <c r="I25" s="6"/>
      <c r="J25" s="9" t="s">
        <v>47</v>
      </c>
      <c r="K25" s="9">
        <v>1187509.82</v>
      </c>
      <c r="L25" s="9">
        <f>K25*0.15</f>
        <v>178126.473</v>
      </c>
      <c r="M25" s="9" t="s">
        <v>79</v>
      </c>
      <c r="N25" s="9">
        <f>L25*0.5</f>
        <v>89063.236499999999</v>
      </c>
      <c r="O25" s="174" t="s">
        <v>340</v>
      </c>
      <c r="P25" s="34">
        <f>L25*0.5</f>
        <v>89063.236499999999</v>
      </c>
      <c r="Q25" s="42" t="s">
        <v>27</v>
      </c>
      <c r="R25" s="42" t="s">
        <v>27</v>
      </c>
      <c r="S25" s="20">
        <v>45007</v>
      </c>
      <c r="T25" s="41">
        <v>1023950</v>
      </c>
      <c r="U25" s="6" t="s">
        <v>28</v>
      </c>
      <c r="V25" s="6"/>
    </row>
    <row r="26" spans="1:22" ht="18" customHeight="1" x14ac:dyDescent="0.3">
      <c r="A26" s="6" t="s">
        <v>450</v>
      </c>
      <c r="B26" s="6" t="s">
        <v>450</v>
      </c>
      <c r="C26" s="207" t="s">
        <v>451</v>
      </c>
      <c r="D26" s="32" t="s">
        <v>453</v>
      </c>
      <c r="E26" s="20">
        <v>44985</v>
      </c>
      <c r="F26" s="33" t="s">
        <v>54</v>
      </c>
      <c r="G26" s="6" t="s">
        <v>213</v>
      </c>
      <c r="H26" s="6" t="s">
        <v>78</v>
      </c>
      <c r="I26" s="6"/>
      <c r="J26" s="9" t="s">
        <v>47</v>
      </c>
      <c r="K26" s="9">
        <v>331000</v>
      </c>
      <c r="L26" s="9">
        <f>K26*0.12</f>
        <v>39720</v>
      </c>
      <c r="M26" s="9" t="s">
        <v>72</v>
      </c>
      <c r="N26" s="9">
        <f>L26*0.2</f>
        <v>7944</v>
      </c>
      <c r="O26" s="47" t="s">
        <v>27</v>
      </c>
      <c r="P26" s="34">
        <f>L26*0.8</f>
        <v>31776</v>
      </c>
      <c r="Q26" s="42" t="s">
        <v>27</v>
      </c>
      <c r="R26" s="42" t="s">
        <v>27</v>
      </c>
      <c r="S26" s="20">
        <v>45007</v>
      </c>
      <c r="T26" s="217">
        <v>1023950</v>
      </c>
      <c r="U26" s="6" t="s">
        <v>28</v>
      </c>
      <c r="V26" s="6"/>
    </row>
    <row r="27" spans="1:22" ht="18" customHeight="1" x14ac:dyDescent="0.3">
      <c r="A27" s="6" t="s">
        <v>454</v>
      </c>
      <c r="B27" s="6" t="s">
        <v>455</v>
      </c>
      <c r="C27" s="207" t="s">
        <v>456</v>
      </c>
      <c r="D27" s="217">
        <v>1035301</v>
      </c>
      <c r="E27" s="20">
        <v>44972</v>
      </c>
      <c r="F27" s="33" t="s">
        <v>54</v>
      </c>
      <c r="G27" s="6" t="s">
        <v>57</v>
      </c>
      <c r="H27" s="6" t="s">
        <v>24</v>
      </c>
      <c r="I27" s="6"/>
      <c r="J27" s="9" t="s">
        <v>25</v>
      </c>
      <c r="K27" s="9">
        <v>1147930.28</v>
      </c>
      <c r="L27" s="9">
        <f>K27*0.15</f>
        <v>172189.54199999999</v>
      </c>
      <c r="M27" s="9" t="s">
        <v>26</v>
      </c>
      <c r="N27" s="9">
        <v>0</v>
      </c>
      <c r="O27" s="9"/>
      <c r="P27" s="34">
        <f>L27</f>
        <v>172189.54199999999</v>
      </c>
      <c r="Q27" s="42" t="s">
        <v>27</v>
      </c>
      <c r="R27" s="42" t="s">
        <v>27</v>
      </c>
      <c r="S27" s="20">
        <v>45007</v>
      </c>
      <c r="T27" s="6" t="s">
        <v>449</v>
      </c>
      <c r="U27" s="6" t="s">
        <v>28</v>
      </c>
      <c r="V27" s="6"/>
    </row>
    <row r="28" spans="1:22" ht="18" customHeight="1" x14ac:dyDescent="0.3">
      <c r="A28" s="6" t="s">
        <v>454</v>
      </c>
      <c r="B28" s="6" t="s">
        <v>455</v>
      </c>
      <c r="C28" s="207" t="s">
        <v>456</v>
      </c>
      <c r="D28" s="217">
        <v>1037401</v>
      </c>
      <c r="E28" s="20">
        <v>44974</v>
      </c>
      <c r="F28" s="33" t="s">
        <v>54</v>
      </c>
      <c r="G28" s="6" t="s">
        <v>71</v>
      </c>
      <c r="H28" s="6" t="s">
        <v>24</v>
      </c>
      <c r="I28" s="6"/>
      <c r="J28" s="9" t="s">
        <v>25</v>
      </c>
      <c r="K28" s="9">
        <v>263981.15000000002</v>
      </c>
      <c r="L28" s="9">
        <f>K28*0.15</f>
        <v>39597.172500000001</v>
      </c>
      <c r="M28" s="9" t="s">
        <v>26</v>
      </c>
      <c r="N28" s="9">
        <v>0</v>
      </c>
      <c r="O28" s="9"/>
      <c r="P28" s="34">
        <f>L28</f>
        <v>39597.172500000001</v>
      </c>
      <c r="Q28" s="42" t="s">
        <v>27</v>
      </c>
      <c r="R28" s="42" t="s">
        <v>27</v>
      </c>
      <c r="S28" s="20">
        <v>44985</v>
      </c>
      <c r="T28" s="32" t="s">
        <v>457</v>
      </c>
      <c r="U28" s="6" t="s">
        <v>28</v>
      </c>
      <c r="V28" s="6"/>
    </row>
    <row r="29" spans="1:22" ht="18" customHeight="1" x14ac:dyDescent="0.3">
      <c r="A29" s="6" t="s">
        <v>458</v>
      </c>
      <c r="B29" s="6" t="s">
        <v>458</v>
      </c>
      <c r="C29" s="207" t="s">
        <v>459</v>
      </c>
      <c r="D29" s="217">
        <v>1044901</v>
      </c>
      <c r="E29" s="20">
        <v>44980</v>
      </c>
      <c r="F29" s="33" t="s">
        <v>54</v>
      </c>
      <c r="G29" s="6" t="s">
        <v>57</v>
      </c>
      <c r="H29" s="6" t="s">
        <v>118</v>
      </c>
      <c r="I29" s="6" t="s">
        <v>417</v>
      </c>
      <c r="J29" s="9" t="s">
        <v>25</v>
      </c>
      <c r="K29" s="9">
        <v>1175721.8500000001</v>
      </c>
      <c r="L29" s="9">
        <f>K29*0.18</f>
        <v>211629.93300000002</v>
      </c>
      <c r="M29" s="9" t="s">
        <v>79</v>
      </c>
      <c r="N29" s="9">
        <f>L29*0.5</f>
        <v>105814.96650000001</v>
      </c>
      <c r="O29" s="232" t="s">
        <v>27</v>
      </c>
      <c r="P29" s="34">
        <f>L29*0.5</f>
        <v>105814.96650000001</v>
      </c>
      <c r="Q29" s="42" t="s">
        <v>27</v>
      </c>
      <c r="R29" s="42" t="s">
        <v>27</v>
      </c>
      <c r="S29" s="20">
        <v>44985</v>
      </c>
      <c r="T29" s="32" t="s">
        <v>457</v>
      </c>
      <c r="U29" s="6" t="s">
        <v>28</v>
      </c>
      <c r="V29" s="6"/>
    </row>
    <row r="30" spans="1:22" ht="18" customHeight="1" x14ac:dyDescent="0.3">
      <c r="A30" s="6" t="s">
        <v>460</v>
      </c>
      <c r="B30" s="6" t="s">
        <v>460</v>
      </c>
      <c r="C30" s="207" t="s">
        <v>461</v>
      </c>
      <c r="D30" s="32" t="s">
        <v>462</v>
      </c>
      <c r="E30" s="20">
        <v>44985</v>
      </c>
      <c r="F30" s="33" t="s">
        <v>54</v>
      </c>
      <c r="G30" s="6" t="s">
        <v>57</v>
      </c>
      <c r="H30" s="6" t="s">
        <v>78</v>
      </c>
      <c r="I30" s="6"/>
      <c r="J30" s="9" t="s">
        <v>47</v>
      </c>
      <c r="K30" s="9">
        <v>647185.13</v>
      </c>
      <c r="L30" s="9">
        <f>K30*0.15</f>
        <v>97077.769499999995</v>
      </c>
      <c r="M30" s="9" t="s">
        <v>79</v>
      </c>
      <c r="N30" s="9">
        <f>L30*0.5</f>
        <v>48538.884749999997</v>
      </c>
      <c r="O30" s="174" t="s">
        <v>340</v>
      </c>
      <c r="P30" s="34">
        <f>L30*0.5</f>
        <v>48538.884749999997</v>
      </c>
      <c r="Q30" s="42" t="s">
        <v>27</v>
      </c>
      <c r="R30" s="42" t="s">
        <v>27</v>
      </c>
      <c r="S30" s="20">
        <v>45007</v>
      </c>
      <c r="T30" s="217">
        <v>1023950</v>
      </c>
      <c r="U30" s="6" t="s">
        <v>28</v>
      </c>
      <c r="V30" s="6"/>
    </row>
    <row r="31" spans="1:22" ht="18" customHeight="1" x14ac:dyDescent="0.3">
      <c r="A31" t="s">
        <v>460</v>
      </c>
      <c r="B31" s="6" t="s">
        <v>460</v>
      </c>
      <c r="C31" s="207" t="s">
        <v>461</v>
      </c>
      <c r="D31" s="32" t="s">
        <v>463</v>
      </c>
      <c r="E31" s="20">
        <v>44985</v>
      </c>
      <c r="F31" s="33" t="s">
        <v>54</v>
      </c>
      <c r="G31" s="6" t="s">
        <v>281</v>
      </c>
      <c r="H31" s="6" t="s">
        <v>78</v>
      </c>
      <c r="I31" s="6"/>
      <c r="J31" s="9" t="s">
        <v>47</v>
      </c>
      <c r="K31" s="9">
        <v>321000.01</v>
      </c>
      <c r="L31" s="9">
        <f>K31*0.12</f>
        <v>38520.001199999999</v>
      </c>
      <c r="M31" s="9" t="s">
        <v>72</v>
      </c>
      <c r="N31" s="9">
        <f>L31*0.2</f>
        <v>7704.0002400000003</v>
      </c>
      <c r="O31" s="47" t="s">
        <v>27</v>
      </c>
      <c r="P31" s="34">
        <f>L31*0.8</f>
        <v>30816.000960000001</v>
      </c>
      <c r="Q31" s="42" t="s">
        <v>27</v>
      </c>
      <c r="R31" s="42" t="s">
        <v>27</v>
      </c>
      <c r="S31" s="20">
        <v>45007</v>
      </c>
      <c r="T31" s="41">
        <v>1023950</v>
      </c>
      <c r="U31" s="6" t="s">
        <v>28</v>
      </c>
      <c r="V31" s="6"/>
    </row>
    <row r="32" spans="1:22" ht="18" customHeight="1" x14ac:dyDescent="0.3">
      <c r="A32" s="6" t="s">
        <v>464</v>
      </c>
      <c r="B32" s="6" t="s">
        <v>464</v>
      </c>
      <c r="C32" s="207" t="s">
        <v>465</v>
      </c>
      <c r="D32" s="217">
        <v>1046901</v>
      </c>
      <c r="E32" s="20">
        <v>44984</v>
      </c>
      <c r="F32" s="33" t="s">
        <v>54</v>
      </c>
      <c r="G32" s="6" t="s">
        <v>57</v>
      </c>
      <c r="H32" s="6" t="s">
        <v>24</v>
      </c>
      <c r="I32" s="6"/>
      <c r="J32" s="9" t="s">
        <v>25</v>
      </c>
      <c r="K32" s="9">
        <v>173233.39</v>
      </c>
      <c r="L32" s="9">
        <f>K32*0.15</f>
        <v>25985.0085</v>
      </c>
      <c r="M32" s="9" t="s">
        <v>26</v>
      </c>
      <c r="N32" s="9">
        <v>0</v>
      </c>
      <c r="O32" s="9"/>
      <c r="P32" s="34">
        <f>L32</f>
        <v>25985.0085</v>
      </c>
      <c r="Q32" s="42" t="s">
        <v>27</v>
      </c>
      <c r="R32" s="42" t="s">
        <v>27</v>
      </c>
      <c r="S32" s="20">
        <v>44992</v>
      </c>
      <c r="T32" s="32" t="s">
        <v>447</v>
      </c>
      <c r="U32" s="6" t="s">
        <v>28</v>
      </c>
      <c r="V32" s="6"/>
    </row>
    <row r="33" spans="1:22" ht="18" customHeight="1" x14ac:dyDescent="0.3">
      <c r="A33" s="6" t="s">
        <v>464</v>
      </c>
      <c r="B33" s="6" t="s">
        <v>464</v>
      </c>
      <c r="C33" s="207" t="s">
        <v>465</v>
      </c>
      <c r="D33" s="217">
        <v>1049101</v>
      </c>
      <c r="E33" s="20">
        <v>44985</v>
      </c>
      <c r="F33" s="33" t="s">
        <v>54</v>
      </c>
      <c r="G33" s="6" t="s">
        <v>71</v>
      </c>
      <c r="H33" s="6" t="s">
        <v>24</v>
      </c>
      <c r="I33" s="6"/>
      <c r="J33" s="9" t="s">
        <v>25</v>
      </c>
      <c r="K33" s="9">
        <v>271289.62</v>
      </c>
      <c r="L33" s="9">
        <f>K33*0.15</f>
        <v>40693.442999999999</v>
      </c>
      <c r="M33" s="9" t="s">
        <v>26</v>
      </c>
      <c r="N33" s="9">
        <v>0</v>
      </c>
      <c r="O33" s="9"/>
      <c r="P33" s="34">
        <f>L33</f>
        <v>40693.442999999999</v>
      </c>
      <c r="Q33" s="42" t="s">
        <v>27</v>
      </c>
      <c r="R33" s="42" t="s">
        <v>27</v>
      </c>
      <c r="S33" s="20">
        <v>44998</v>
      </c>
      <c r="T33" s="32" t="s">
        <v>444</v>
      </c>
      <c r="U33" s="6" t="s">
        <v>28</v>
      </c>
      <c r="V33" s="6"/>
    </row>
    <row r="34" spans="1:22" ht="18" customHeight="1" x14ac:dyDescent="0.3">
      <c r="A34" s="6"/>
      <c r="B34" s="6" t="s">
        <v>466</v>
      </c>
      <c r="C34" s="207" t="s">
        <v>467</v>
      </c>
      <c r="D34" s="217">
        <v>1044501</v>
      </c>
      <c r="E34" s="20">
        <v>44980</v>
      </c>
      <c r="F34" s="33" t="s">
        <v>54</v>
      </c>
      <c r="G34" s="6" t="s">
        <v>57</v>
      </c>
      <c r="H34" s="6" t="s">
        <v>46</v>
      </c>
      <c r="I34" s="6"/>
      <c r="J34" s="9" t="s">
        <v>25</v>
      </c>
      <c r="K34" s="9">
        <v>230424.24</v>
      </c>
      <c r="L34" s="9">
        <f>K34*0.15</f>
        <v>34563.635999999999</v>
      </c>
      <c r="M34" s="9" t="s">
        <v>72</v>
      </c>
      <c r="N34" s="9">
        <f>L34*0.8</f>
        <v>27650.908800000001</v>
      </c>
      <c r="O34" s="47" t="s">
        <v>27</v>
      </c>
      <c r="P34" s="34">
        <f>L34*0.2</f>
        <v>6912.7272000000003</v>
      </c>
      <c r="Q34" s="42" t="s">
        <v>27</v>
      </c>
      <c r="R34" s="42" t="s">
        <v>27</v>
      </c>
      <c r="S34" s="20">
        <v>44985</v>
      </c>
      <c r="T34" t="s">
        <v>457</v>
      </c>
      <c r="U34" s="6" t="s">
        <v>28</v>
      </c>
      <c r="V34" s="6"/>
    </row>
    <row r="35" spans="1:22" ht="18" customHeight="1" x14ac:dyDescent="0.3">
      <c r="A35" s="6"/>
      <c r="B35" s="234" t="s">
        <v>468</v>
      </c>
      <c r="C35" s="207" t="s">
        <v>469</v>
      </c>
      <c r="D35" s="32" t="s">
        <v>470</v>
      </c>
      <c r="E35" s="20">
        <v>44970</v>
      </c>
      <c r="F35" s="33" t="s">
        <v>54</v>
      </c>
      <c r="G35" s="6" t="s">
        <v>471</v>
      </c>
      <c r="H35" s="6" t="s">
        <v>24</v>
      </c>
      <c r="I35" s="6"/>
      <c r="J35" s="9" t="s">
        <v>472</v>
      </c>
      <c r="K35" s="9">
        <v>65879.350000000006</v>
      </c>
      <c r="L35" s="9">
        <f>K35*0.1596394</f>
        <v>10516.93990639</v>
      </c>
      <c r="M35" s="6" t="s">
        <v>26</v>
      </c>
      <c r="N35" s="9">
        <v>0</v>
      </c>
      <c r="O35" s="9"/>
      <c r="P35" s="34">
        <f>L35</f>
        <v>10516.93990639</v>
      </c>
      <c r="Q35" s="42" t="s">
        <v>27</v>
      </c>
      <c r="R35" s="42" t="s">
        <v>27</v>
      </c>
      <c r="S35" s="6"/>
      <c r="T35" s="6"/>
      <c r="U35" s="6" t="s">
        <v>28</v>
      </c>
      <c r="V35" s="6" t="s">
        <v>473</v>
      </c>
    </row>
    <row r="36" spans="1:22" ht="18" customHeight="1" x14ac:dyDescent="0.3">
      <c r="A36" s="6"/>
      <c r="B36" s="234" t="s">
        <v>474</v>
      </c>
      <c r="C36" s="207" t="s">
        <v>475</v>
      </c>
      <c r="D36" s="32" t="s">
        <v>476</v>
      </c>
      <c r="E36" s="20">
        <v>44995</v>
      </c>
      <c r="F36" s="33" t="s">
        <v>28</v>
      </c>
      <c r="G36" s="6" t="s">
        <v>53</v>
      </c>
      <c r="H36" s="6" t="s">
        <v>24</v>
      </c>
      <c r="I36" s="6"/>
      <c r="J36" s="9" t="s">
        <v>47</v>
      </c>
      <c r="K36" s="9">
        <v>33182.550000000003</v>
      </c>
      <c r="L36" s="9">
        <f>K36*0.1</f>
        <v>3318.2550000000006</v>
      </c>
      <c r="M36" s="9" t="s">
        <v>26</v>
      </c>
      <c r="N36" s="9">
        <v>0</v>
      </c>
      <c r="O36" s="9"/>
      <c r="P36" s="34">
        <f>L36</f>
        <v>3318.2550000000006</v>
      </c>
      <c r="Q36" s="42" t="s">
        <v>27</v>
      </c>
      <c r="R36" s="42" t="s">
        <v>27</v>
      </c>
      <c r="S36" s="20">
        <v>45041</v>
      </c>
      <c r="T36" s="41">
        <v>1038106</v>
      </c>
      <c r="U36" s="6" t="s">
        <v>99</v>
      </c>
      <c r="V36" s="6"/>
    </row>
    <row r="37" spans="1:22" ht="18" customHeight="1" x14ac:dyDescent="0.3">
      <c r="A37" t="s">
        <v>93</v>
      </c>
      <c r="B37" s="6" t="s">
        <v>93</v>
      </c>
      <c r="C37" s="207" t="s">
        <v>477</v>
      </c>
      <c r="D37" s="32" t="s">
        <v>478</v>
      </c>
      <c r="E37" s="6" t="s">
        <v>479</v>
      </c>
      <c r="F37" s="33" t="s">
        <v>99</v>
      </c>
      <c r="G37" s="6" t="s">
        <v>57</v>
      </c>
      <c r="H37" s="6" t="s">
        <v>78</v>
      </c>
      <c r="I37" s="6"/>
      <c r="J37" s="9" t="s">
        <v>47</v>
      </c>
      <c r="K37" s="9">
        <v>1048500</v>
      </c>
      <c r="L37" s="9">
        <f>K37*0.15</f>
        <v>157275</v>
      </c>
      <c r="M37" s="9" t="s">
        <v>79</v>
      </c>
      <c r="N37" s="9">
        <f>L37*0.5</f>
        <v>78637.5</v>
      </c>
      <c r="O37" s="174" t="s">
        <v>340</v>
      </c>
      <c r="P37" s="34">
        <f>L37*0.5</f>
        <v>78637.5</v>
      </c>
      <c r="Q37" s="42" t="s">
        <v>27</v>
      </c>
      <c r="R37" s="42" t="s">
        <v>27</v>
      </c>
      <c r="S37" s="20">
        <v>45034</v>
      </c>
      <c r="T37" s="41">
        <v>1038106</v>
      </c>
      <c r="U37" s="6" t="s">
        <v>99</v>
      </c>
      <c r="V37" s="6"/>
    </row>
    <row r="38" spans="1:22" ht="18" customHeight="1" x14ac:dyDescent="0.3">
      <c r="A38" s="6" t="s">
        <v>93</v>
      </c>
      <c r="B38" s="6" t="s">
        <v>93</v>
      </c>
      <c r="C38" s="207" t="s">
        <v>477</v>
      </c>
      <c r="D38" s="32" t="s">
        <v>480</v>
      </c>
      <c r="E38" s="20">
        <v>45016</v>
      </c>
      <c r="F38" s="33" t="s">
        <v>28</v>
      </c>
      <c r="G38" s="6" t="s">
        <v>213</v>
      </c>
      <c r="H38" s="6" t="s">
        <v>78</v>
      </c>
      <c r="I38" s="6"/>
      <c r="J38" s="9" t="s">
        <v>47</v>
      </c>
      <c r="K38" s="9">
        <v>281000</v>
      </c>
      <c r="L38" s="9">
        <f>K38*0.18</f>
        <v>50580</v>
      </c>
      <c r="M38" s="9" t="s">
        <v>72</v>
      </c>
      <c r="N38" s="9">
        <f>L38*0.2</f>
        <v>10116</v>
      </c>
      <c r="O38" s="42" t="s">
        <v>27</v>
      </c>
      <c r="P38" s="34">
        <f>L38*0.8</f>
        <v>40464</v>
      </c>
      <c r="Q38" s="42" t="s">
        <v>27</v>
      </c>
      <c r="R38" s="42" t="s">
        <v>27</v>
      </c>
      <c r="S38" s="20">
        <v>45034</v>
      </c>
      <c r="T38" s="41">
        <v>1038106</v>
      </c>
      <c r="U38" s="6" t="s">
        <v>99</v>
      </c>
      <c r="V38" s="6"/>
    </row>
    <row r="39" spans="1:22" ht="18" customHeight="1" x14ac:dyDescent="0.3">
      <c r="A39" s="6" t="s">
        <v>481</v>
      </c>
      <c r="B39" s="46" t="s">
        <v>481</v>
      </c>
      <c r="C39" s="46" t="s">
        <v>482</v>
      </c>
      <c r="D39" s="217">
        <v>1067001</v>
      </c>
      <c r="E39" s="20">
        <v>45002</v>
      </c>
      <c r="F39" s="33" t="s">
        <v>28</v>
      </c>
      <c r="G39" s="6" t="s">
        <v>57</v>
      </c>
      <c r="H39" s="6" t="s">
        <v>24</v>
      </c>
      <c r="I39" s="6"/>
      <c r="J39" s="9" t="s">
        <v>25</v>
      </c>
      <c r="K39" s="9">
        <v>1069557.57</v>
      </c>
      <c r="L39" s="9">
        <f>K39*0.18</f>
        <v>192520.36259999999</v>
      </c>
      <c r="M39" s="9" t="s">
        <v>26</v>
      </c>
      <c r="N39" s="9"/>
      <c r="O39" s="34"/>
      <c r="P39" s="34">
        <f>L39</f>
        <v>192520.36259999999</v>
      </c>
      <c r="Q39" s="42" t="s">
        <v>27</v>
      </c>
      <c r="R39" s="42" t="s">
        <v>27</v>
      </c>
      <c r="S39" s="20">
        <v>45027</v>
      </c>
      <c r="T39" s="6" t="s">
        <v>483</v>
      </c>
      <c r="U39" s="6" t="s">
        <v>99</v>
      </c>
      <c r="V39" s="6"/>
    </row>
    <row r="40" spans="1:22" ht="18" customHeight="1" x14ac:dyDescent="0.3">
      <c r="A40" s="6" t="s">
        <v>481</v>
      </c>
      <c r="B40" s="46" t="s">
        <v>481</v>
      </c>
      <c r="C40" s="207" t="s">
        <v>482</v>
      </c>
      <c r="D40" s="217">
        <v>1074501</v>
      </c>
      <c r="E40" s="20">
        <v>45013</v>
      </c>
      <c r="F40" s="33" t="s">
        <v>28</v>
      </c>
      <c r="G40" s="6" t="s">
        <v>71</v>
      </c>
      <c r="H40" s="6" t="s">
        <v>155</v>
      </c>
      <c r="I40" s="6"/>
      <c r="J40" s="9" t="s">
        <v>25</v>
      </c>
      <c r="K40" s="9">
        <v>256436.8</v>
      </c>
      <c r="L40" s="9">
        <f>K40*0.18</f>
        <v>46158.623999999996</v>
      </c>
      <c r="M40" s="9" t="s">
        <v>26</v>
      </c>
      <c r="N40" s="9"/>
      <c r="O40" s="34"/>
      <c r="P40" s="34">
        <f>L40</f>
        <v>46158.623999999996</v>
      </c>
      <c r="Q40" s="42" t="s">
        <v>27</v>
      </c>
      <c r="R40" s="42" t="s">
        <v>27</v>
      </c>
      <c r="S40" s="20">
        <v>45036</v>
      </c>
      <c r="T40" s="32" t="s">
        <v>484</v>
      </c>
      <c r="U40" s="6" t="s">
        <v>99</v>
      </c>
      <c r="V40" s="6"/>
    </row>
    <row r="41" spans="1:22" ht="18" customHeight="1" x14ac:dyDescent="0.3">
      <c r="A41" s="6" t="s">
        <v>458</v>
      </c>
      <c r="B41" s="6" t="s">
        <v>458</v>
      </c>
      <c r="C41" s="207" t="s">
        <v>459</v>
      </c>
      <c r="D41" s="217">
        <v>1080301</v>
      </c>
      <c r="E41" s="20">
        <v>45016</v>
      </c>
      <c r="F41" s="33" t="s">
        <v>28</v>
      </c>
      <c r="G41" s="6" t="s">
        <v>71</v>
      </c>
      <c r="H41" s="6" t="s">
        <v>155</v>
      </c>
      <c r="I41" s="6"/>
      <c r="J41" s="9" t="s">
        <v>25</v>
      </c>
      <c r="K41" s="9">
        <v>254730.6</v>
      </c>
      <c r="L41" s="9">
        <f>K41*0.18</f>
        <v>45851.508000000002</v>
      </c>
      <c r="M41" s="9" t="s">
        <v>26</v>
      </c>
      <c r="N41" s="9"/>
      <c r="O41" s="34"/>
      <c r="P41" s="34">
        <f>L41</f>
        <v>45851.508000000002</v>
      </c>
      <c r="Q41" s="42" t="s">
        <v>27</v>
      </c>
      <c r="R41" s="42" t="s">
        <v>27</v>
      </c>
      <c r="S41" s="20">
        <v>45033</v>
      </c>
      <c r="T41" s="32" t="s">
        <v>485</v>
      </c>
      <c r="U41" s="6" t="s">
        <v>99</v>
      </c>
      <c r="V41" s="6"/>
    </row>
    <row r="42" spans="1:22" ht="18" customHeight="1" x14ac:dyDescent="0.3">
      <c r="A42" s="6"/>
      <c r="B42" s="46" t="s">
        <v>399</v>
      </c>
      <c r="C42" s="207" t="s">
        <v>486</v>
      </c>
      <c r="D42" s="217">
        <v>1063601</v>
      </c>
      <c r="E42" s="20">
        <v>45000</v>
      </c>
      <c r="F42" s="33" t="s">
        <v>28</v>
      </c>
      <c r="G42" s="6" t="s">
        <v>57</v>
      </c>
      <c r="H42" s="6" t="s">
        <v>24</v>
      </c>
      <c r="I42" s="6"/>
      <c r="J42" s="9" t="s">
        <v>25</v>
      </c>
      <c r="K42" s="9">
        <v>505098.84</v>
      </c>
      <c r="L42" s="9">
        <f>K42*0.2168</f>
        <v>109505.428512</v>
      </c>
      <c r="M42" s="9" t="s">
        <v>26</v>
      </c>
      <c r="N42" s="9"/>
      <c r="O42" s="34"/>
      <c r="P42" s="34">
        <f>L42</f>
        <v>109505.428512</v>
      </c>
      <c r="Q42" s="42" t="s">
        <v>27</v>
      </c>
      <c r="R42" s="42" t="s">
        <v>27</v>
      </c>
      <c r="S42" s="20">
        <v>45033</v>
      </c>
      <c r="T42" t="s">
        <v>485</v>
      </c>
      <c r="U42" s="6" t="s">
        <v>99</v>
      </c>
      <c r="V42" s="6"/>
    </row>
    <row r="43" spans="1:22" ht="18" customHeight="1" x14ac:dyDescent="0.3">
      <c r="A43" s="6"/>
      <c r="B43" s="46" t="s">
        <v>487</v>
      </c>
      <c r="C43" s="207" t="s">
        <v>488</v>
      </c>
      <c r="D43" s="217">
        <v>1091401</v>
      </c>
      <c r="E43" s="20">
        <v>45029</v>
      </c>
      <c r="F43" s="33" t="s">
        <v>99</v>
      </c>
      <c r="G43" s="6" t="s">
        <v>57</v>
      </c>
      <c r="H43" s="6" t="s">
        <v>46</v>
      </c>
      <c r="I43" s="6"/>
      <c r="J43" s="9" t="s">
        <v>25</v>
      </c>
      <c r="K43" s="9">
        <v>358459.3</v>
      </c>
      <c r="L43" s="9">
        <f>K43*0.15</f>
        <v>53768.894999999997</v>
      </c>
      <c r="M43" s="9" t="s">
        <v>72</v>
      </c>
      <c r="N43" s="9">
        <f>L43*0.8</f>
        <v>43015.116000000002</v>
      </c>
      <c r="O43" s="42" t="s">
        <v>27</v>
      </c>
      <c r="P43" s="34">
        <f>L43*0.2</f>
        <v>10753.779</v>
      </c>
      <c r="Q43" s="42" t="s">
        <v>27</v>
      </c>
      <c r="R43" s="42" t="s">
        <v>27</v>
      </c>
      <c r="S43" s="20">
        <v>45041</v>
      </c>
      <c r="T43" s="6" t="s">
        <v>489</v>
      </c>
      <c r="U43" s="6" t="s">
        <v>99</v>
      </c>
      <c r="V43" s="6"/>
    </row>
    <row r="44" spans="1:22" ht="18" customHeight="1" x14ac:dyDescent="0.3">
      <c r="A44" s="6"/>
      <c r="B44" s="46" t="s">
        <v>490</v>
      </c>
      <c r="C44" s="207" t="s">
        <v>491</v>
      </c>
      <c r="D44" s="217">
        <v>952301</v>
      </c>
      <c r="E44" s="20">
        <v>45013</v>
      </c>
      <c r="F44" s="44" t="s">
        <v>28</v>
      </c>
      <c r="G44" s="6" t="s">
        <v>57</v>
      </c>
      <c r="H44" s="6" t="s">
        <v>46</v>
      </c>
      <c r="I44" s="6"/>
      <c r="J44" s="9" t="s">
        <v>25</v>
      </c>
      <c r="K44" s="9">
        <v>10000</v>
      </c>
      <c r="L44" s="9">
        <f>K44*0.15</f>
        <v>1500</v>
      </c>
      <c r="M44" s="9" t="s">
        <v>72</v>
      </c>
      <c r="N44" s="9">
        <f>L44*0.8</f>
        <v>1200</v>
      </c>
      <c r="O44" s="42" t="s">
        <v>27</v>
      </c>
      <c r="P44" s="34">
        <f>L44*0.2</f>
        <v>300</v>
      </c>
      <c r="Q44" s="42" t="s">
        <v>27</v>
      </c>
      <c r="R44" s="42" t="s">
        <v>27</v>
      </c>
      <c r="S44" s="20">
        <v>45041</v>
      </c>
      <c r="T44" s="6" t="s">
        <v>489</v>
      </c>
      <c r="U44" s="6" t="s">
        <v>99</v>
      </c>
      <c r="V44" s="6"/>
    </row>
    <row r="45" spans="1:22" ht="18" customHeight="1" x14ac:dyDescent="0.3">
      <c r="A45" s="6" t="s">
        <v>492</v>
      </c>
      <c r="B45" s="234" t="s">
        <v>492</v>
      </c>
      <c r="C45" s="207" t="s">
        <v>493</v>
      </c>
      <c r="D45" s="32" t="s">
        <v>494</v>
      </c>
      <c r="E45" s="20">
        <v>44995</v>
      </c>
      <c r="F45" s="33" t="s">
        <v>28</v>
      </c>
      <c r="G45" s="6" t="s">
        <v>53</v>
      </c>
      <c r="H45" s="6" t="s">
        <v>24</v>
      </c>
      <c r="I45" s="6"/>
      <c r="J45" s="9" t="s">
        <v>47</v>
      </c>
      <c r="K45" s="9">
        <v>466044.95</v>
      </c>
      <c r="L45" s="9">
        <f>K45*0.1</f>
        <v>46604.495000000003</v>
      </c>
      <c r="M45" s="9" t="s">
        <v>26</v>
      </c>
      <c r="N45" s="9">
        <v>0</v>
      </c>
      <c r="O45" s="9"/>
      <c r="P45" s="34">
        <f>L45</f>
        <v>46604.495000000003</v>
      </c>
      <c r="Q45" s="42" t="s">
        <v>27</v>
      </c>
      <c r="R45" s="42" t="s">
        <v>27</v>
      </c>
      <c r="S45" s="20">
        <v>45055</v>
      </c>
      <c r="T45" s="41">
        <v>1047200</v>
      </c>
      <c r="U45" s="6" t="s">
        <v>84</v>
      </c>
      <c r="V45" s="6"/>
    </row>
    <row r="46" spans="1:22" ht="18" customHeight="1" x14ac:dyDescent="0.3">
      <c r="A46" s="6" t="s">
        <v>495</v>
      </c>
      <c r="B46" s="6" t="s">
        <v>496</v>
      </c>
      <c r="C46" s="207" t="s">
        <v>497</v>
      </c>
      <c r="D46" s="32" t="s">
        <v>498</v>
      </c>
      <c r="E46" s="20">
        <v>45007</v>
      </c>
      <c r="F46" s="33" t="s">
        <v>28</v>
      </c>
      <c r="G46" s="6" t="s">
        <v>57</v>
      </c>
      <c r="H46" s="6" t="s">
        <v>78</v>
      </c>
      <c r="I46" s="6"/>
      <c r="J46" s="9" t="s">
        <v>47</v>
      </c>
      <c r="K46" s="9">
        <v>984228.04</v>
      </c>
      <c r="L46" s="9">
        <f>K46*0.15</f>
        <v>147634.20600000001</v>
      </c>
      <c r="M46" s="9" t="s">
        <v>79</v>
      </c>
      <c r="N46" s="9">
        <f>L46*0.5</f>
        <v>73817.103000000003</v>
      </c>
      <c r="O46" s="174" t="s">
        <v>340</v>
      </c>
      <c r="P46" s="34">
        <f>L46*0.5</f>
        <v>73817.103000000003</v>
      </c>
      <c r="Q46" s="42" t="s">
        <v>27</v>
      </c>
      <c r="R46" s="42" t="s">
        <v>27</v>
      </c>
      <c r="S46" s="20">
        <v>45062</v>
      </c>
      <c r="T46" s="41">
        <v>1047200</v>
      </c>
      <c r="U46" s="6" t="s">
        <v>84</v>
      </c>
      <c r="V46" s="6"/>
    </row>
    <row r="47" spans="1:22" ht="18" customHeight="1" x14ac:dyDescent="0.3">
      <c r="A47" s="6" t="s">
        <v>495</v>
      </c>
      <c r="B47" s="6" t="s">
        <v>496</v>
      </c>
      <c r="C47" s="207" t="s">
        <v>497</v>
      </c>
      <c r="D47" s="32" t="s">
        <v>499</v>
      </c>
      <c r="E47" s="20">
        <v>45007</v>
      </c>
      <c r="F47" s="33" t="s">
        <v>28</v>
      </c>
      <c r="G47" s="6" t="s">
        <v>213</v>
      </c>
      <c r="H47" s="6" t="s">
        <v>78</v>
      </c>
      <c r="I47" s="6"/>
      <c r="J47" s="9" t="s">
        <v>47</v>
      </c>
      <c r="K47" s="9">
        <v>340999.99</v>
      </c>
      <c r="L47" s="9">
        <f>K47*0.12</f>
        <v>40919.998799999994</v>
      </c>
      <c r="M47" s="9" t="s">
        <v>72</v>
      </c>
      <c r="N47" s="9">
        <f>L47*0.2</f>
        <v>8183.9997599999988</v>
      </c>
      <c r="O47" s="42" t="s">
        <v>27</v>
      </c>
      <c r="P47" s="34">
        <f>L47*0.8</f>
        <v>32735.999039999995</v>
      </c>
      <c r="Q47" s="42" t="s">
        <v>27</v>
      </c>
      <c r="R47" s="42" t="s">
        <v>27</v>
      </c>
      <c r="S47" s="20">
        <v>45062</v>
      </c>
      <c r="T47" s="41">
        <v>1047200</v>
      </c>
      <c r="U47" s="6" t="s">
        <v>84</v>
      </c>
      <c r="V47" s="6"/>
    </row>
    <row r="48" spans="1:22" ht="18" customHeight="1" x14ac:dyDescent="0.3">
      <c r="A48" s="6" t="s">
        <v>171</v>
      </c>
      <c r="B48" s="6" t="s">
        <v>171</v>
      </c>
      <c r="C48" s="207" t="s">
        <v>500</v>
      </c>
      <c r="D48" s="219" t="s">
        <v>501</v>
      </c>
      <c r="E48" s="20">
        <v>44939</v>
      </c>
      <c r="F48" s="33" t="s">
        <v>44</v>
      </c>
      <c r="G48" s="6" t="s">
        <v>57</v>
      </c>
      <c r="H48" s="6" t="s">
        <v>24</v>
      </c>
      <c r="I48" s="6"/>
      <c r="J48" s="9" t="s">
        <v>25</v>
      </c>
      <c r="K48" s="9">
        <v>4000</v>
      </c>
      <c r="L48" s="9">
        <f>K48*0.15</f>
        <v>600</v>
      </c>
      <c r="M48" s="9" t="s">
        <v>26</v>
      </c>
      <c r="N48" s="9">
        <v>0</v>
      </c>
      <c r="O48" s="9"/>
      <c r="P48" s="34">
        <f>L48</f>
        <v>600</v>
      </c>
      <c r="Q48" s="42" t="s">
        <v>27</v>
      </c>
      <c r="R48" s="42" t="s">
        <v>27</v>
      </c>
      <c r="S48" s="20">
        <v>45045</v>
      </c>
      <c r="T48" s="6" t="s">
        <v>502</v>
      </c>
      <c r="U48" s="6" t="s">
        <v>84</v>
      </c>
      <c r="V48" s="6"/>
    </row>
    <row r="49" spans="1:22" ht="18" customHeight="1" x14ac:dyDescent="0.3">
      <c r="A49" s="6" t="s">
        <v>503</v>
      </c>
      <c r="B49" s="6" t="s">
        <v>504</v>
      </c>
      <c r="C49" s="207" t="s">
        <v>505</v>
      </c>
      <c r="D49" s="217">
        <v>1080501</v>
      </c>
      <c r="E49" s="20">
        <v>45016</v>
      </c>
      <c r="F49" s="33" t="s">
        <v>28</v>
      </c>
      <c r="G49" s="6" t="s">
        <v>57</v>
      </c>
      <c r="H49" s="6" t="s">
        <v>118</v>
      </c>
      <c r="I49" s="6" t="s">
        <v>417</v>
      </c>
      <c r="J49" s="9" t="s">
        <v>25</v>
      </c>
      <c r="K49" s="9">
        <v>343093.38</v>
      </c>
      <c r="L49" s="9">
        <f>K49*0.15</f>
        <v>51464.006999999998</v>
      </c>
      <c r="M49" s="9" t="s">
        <v>79</v>
      </c>
      <c r="N49" s="9">
        <f>L49*0.5</f>
        <v>25732.003499999999</v>
      </c>
      <c r="O49" s="232" t="s">
        <v>27</v>
      </c>
      <c r="P49" s="34">
        <f>L49*0.5</f>
        <v>25732.003499999999</v>
      </c>
      <c r="Q49" s="42" t="s">
        <v>27</v>
      </c>
      <c r="R49" s="42" t="s">
        <v>27</v>
      </c>
      <c r="S49" s="20">
        <v>45075</v>
      </c>
      <c r="T49" s="6" t="s">
        <v>506</v>
      </c>
      <c r="U49" s="6" t="s">
        <v>84</v>
      </c>
      <c r="V49" s="6"/>
    </row>
    <row r="50" spans="1:22" ht="18" customHeight="1" x14ac:dyDescent="0.3">
      <c r="A50" s="6"/>
      <c r="B50" s="6" t="s">
        <v>507</v>
      </c>
      <c r="C50" s="207" t="s">
        <v>508</v>
      </c>
      <c r="D50" s="217">
        <v>1076401</v>
      </c>
      <c r="E50" s="20">
        <v>45014</v>
      </c>
      <c r="F50" s="223" t="s">
        <v>28</v>
      </c>
      <c r="G50" s="6" t="s">
        <v>57</v>
      </c>
      <c r="H50" s="6" t="s">
        <v>118</v>
      </c>
      <c r="I50" s="6" t="s">
        <v>417</v>
      </c>
      <c r="J50" s="9" t="s">
        <v>25</v>
      </c>
      <c r="K50" s="9">
        <v>893727.12</v>
      </c>
      <c r="L50" s="9">
        <f>K50*0.15</f>
        <v>134059.068</v>
      </c>
      <c r="M50" s="9" t="s">
        <v>79</v>
      </c>
      <c r="N50" s="9">
        <f>L50*0.5</f>
        <v>67029.534</v>
      </c>
      <c r="O50" s="232" t="s">
        <v>27</v>
      </c>
      <c r="P50" s="34">
        <f>L50*0.5</f>
        <v>67029.534</v>
      </c>
      <c r="Q50" s="42" t="s">
        <v>27</v>
      </c>
      <c r="R50" s="42" t="s">
        <v>27</v>
      </c>
      <c r="S50" s="20">
        <v>45069</v>
      </c>
      <c r="T50" s="6" t="s">
        <v>509</v>
      </c>
      <c r="U50" s="6" t="s">
        <v>84</v>
      </c>
      <c r="V50" s="6"/>
    </row>
    <row r="51" spans="1:22" ht="18" customHeight="1" x14ac:dyDescent="0.3">
      <c r="A51" s="6"/>
      <c r="B51" s="6" t="s">
        <v>510</v>
      </c>
      <c r="C51" s="207" t="s">
        <v>511</v>
      </c>
      <c r="D51" s="217">
        <v>1100501</v>
      </c>
      <c r="E51" s="20">
        <v>45037</v>
      </c>
      <c r="F51" s="33" t="s">
        <v>99</v>
      </c>
      <c r="G51" s="6" t="s">
        <v>57</v>
      </c>
      <c r="H51" s="6" t="s">
        <v>118</v>
      </c>
      <c r="I51" s="6" t="s">
        <v>417</v>
      </c>
      <c r="J51" s="35" t="s">
        <v>25</v>
      </c>
      <c r="K51" s="9">
        <v>1659583.52</v>
      </c>
      <c r="L51" s="9">
        <f>K51*0.18</f>
        <v>298725.03359999997</v>
      </c>
      <c r="M51" s="9" t="s">
        <v>79</v>
      </c>
      <c r="N51" s="9">
        <f>L51*0.4</f>
        <v>119490.01344</v>
      </c>
      <c r="O51" s="232" t="s">
        <v>27</v>
      </c>
      <c r="P51" s="34">
        <f>L51*0.6</f>
        <v>179235.02015999999</v>
      </c>
      <c r="Q51" s="42" t="s">
        <v>27</v>
      </c>
      <c r="R51" s="42" t="s">
        <v>27</v>
      </c>
      <c r="S51" s="20">
        <v>45045</v>
      </c>
      <c r="T51" s="6" t="s">
        <v>502</v>
      </c>
      <c r="U51" s="6" t="s">
        <v>84</v>
      </c>
      <c r="V51" s="6"/>
    </row>
    <row r="52" spans="1:22" ht="18" customHeight="1" x14ac:dyDescent="0.3">
      <c r="A52" s="6"/>
      <c r="B52" s="6" t="s">
        <v>512</v>
      </c>
      <c r="C52" s="207" t="s">
        <v>513</v>
      </c>
      <c r="D52" s="217">
        <v>1088001</v>
      </c>
      <c r="E52" s="20">
        <v>45021</v>
      </c>
      <c r="F52" s="33" t="s">
        <v>99</v>
      </c>
      <c r="G52" s="6" t="s">
        <v>57</v>
      </c>
      <c r="H52" s="6" t="s">
        <v>514</v>
      </c>
      <c r="I52" s="6"/>
      <c r="J52" s="9" t="s">
        <v>25</v>
      </c>
      <c r="K52" s="9">
        <v>165753.84</v>
      </c>
      <c r="L52" s="9">
        <f>K52*0.15</f>
        <v>24863.075999999997</v>
      </c>
      <c r="M52" s="9" t="s">
        <v>72</v>
      </c>
      <c r="N52" s="9">
        <f>L52*0.8</f>
        <v>19890.460800000001</v>
      </c>
      <c r="O52" s="42" t="s">
        <v>27</v>
      </c>
      <c r="P52" s="34">
        <f>L52*0.2</f>
        <v>4972.6152000000002</v>
      </c>
      <c r="Q52" s="42" t="s">
        <v>27</v>
      </c>
      <c r="R52" s="42" t="s">
        <v>27</v>
      </c>
      <c r="S52" s="20">
        <v>45045</v>
      </c>
      <c r="T52" s="6" t="s">
        <v>502</v>
      </c>
      <c r="U52" s="6" t="s">
        <v>84</v>
      </c>
      <c r="V52" s="6"/>
    </row>
    <row r="53" spans="1:22" ht="18" customHeight="1" x14ac:dyDescent="0.3">
      <c r="A53" s="6"/>
      <c r="B53" s="46" t="s">
        <v>515</v>
      </c>
      <c r="C53" s="207" t="s">
        <v>516</v>
      </c>
      <c r="D53" s="32" t="s">
        <v>517</v>
      </c>
      <c r="E53" s="20">
        <v>45026</v>
      </c>
      <c r="F53" s="33" t="s">
        <v>99</v>
      </c>
      <c r="G53" s="6" t="s">
        <v>57</v>
      </c>
      <c r="H53" s="6" t="s">
        <v>78</v>
      </c>
      <c r="I53" s="6"/>
      <c r="J53" s="9" t="s">
        <v>47</v>
      </c>
      <c r="K53" s="9">
        <v>1947740.94</v>
      </c>
      <c r="L53" s="9">
        <f>K53*0.15</f>
        <v>292161.141</v>
      </c>
      <c r="M53" s="9" t="s">
        <v>79</v>
      </c>
      <c r="N53" s="9">
        <f>L53*0.5</f>
        <v>146080.5705</v>
      </c>
      <c r="O53" s="174" t="s">
        <v>340</v>
      </c>
      <c r="P53" s="34">
        <f>L53*0.5</f>
        <v>146080.5705</v>
      </c>
      <c r="Q53" s="42" t="s">
        <v>27</v>
      </c>
      <c r="R53" s="42" t="s">
        <v>27</v>
      </c>
      <c r="S53" s="20">
        <v>45062</v>
      </c>
      <c r="T53" s="41">
        <v>1047200</v>
      </c>
      <c r="U53" s="6" t="s">
        <v>84</v>
      </c>
      <c r="V53" s="6"/>
    </row>
    <row r="54" spans="1:22" ht="18" customHeight="1" x14ac:dyDescent="0.3">
      <c r="A54" s="6"/>
      <c r="B54" s="46" t="s">
        <v>515</v>
      </c>
      <c r="C54" s="207" t="s">
        <v>516</v>
      </c>
      <c r="D54" s="32" t="s">
        <v>518</v>
      </c>
      <c r="E54" s="20">
        <v>45026</v>
      </c>
      <c r="F54" s="33" t="s">
        <v>99</v>
      </c>
      <c r="G54" s="6" t="s">
        <v>213</v>
      </c>
      <c r="H54" s="6" t="s">
        <v>78</v>
      </c>
      <c r="I54" s="6"/>
      <c r="J54" s="9" t="s">
        <v>47</v>
      </c>
      <c r="K54" s="9">
        <v>208999.99</v>
      </c>
      <c r="L54" s="9">
        <f>K54*0.12</f>
        <v>25079.998799999998</v>
      </c>
      <c r="M54" s="6" t="s">
        <v>72</v>
      </c>
      <c r="N54" s="9">
        <f>L54*0.2</f>
        <v>5015.9997599999997</v>
      </c>
      <c r="O54" s="42" t="s">
        <v>27</v>
      </c>
      <c r="P54" s="34">
        <f>L54*0.8</f>
        <v>20063.999039999999</v>
      </c>
      <c r="Q54" s="42" t="s">
        <v>27</v>
      </c>
      <c r="R54" s="42" t="s">
        <v>27</v>
      </c>
      <c r="S54" s="20">
        <v>45062</v>
      </c>
      <c r="T54" s="217">
        <v>1047200</v>
      </c>
      <c r="U54" s="6" t="s">
        <v>84</v>
      </c>
      <c r="V54" s="6"/>
    </row>
    <row r="55" spans="1:22" ht="18" customHeight="1" x14ac:dyDescent="0.3">
      <c r="A55" s="6"/>
      <c r="B55" s="46" t="s">
        <v>519</v>
      </c>
      <c r="C55" s="207" t="s">
        <v>520</v>
      </c>
      <c r="D55" s="32" t="s">
        <v>521</v>
      </c>
      <c r="E55" s="20">
        <v>45015</v>
      </c>
      <c r="F55" s="33" t="s">
        <v>28</v>
      </c>
      <c r="G55" s="6" t="s">
        <v>57</v>
      </c>
      <c r="H55" s="6" t="s">
        <v>24</v>
      </c>
      <c r="I55" s="6"/>
      <c r="J55" s="9" t="s">
        <v>47</v>
      </c>
      <c r="K55" s="9">
        <v>216405</v>
      </c>
      <c r="L55" s="9">
        <f>K55*0.15</f>
        <v>32460.75</v>
      </c>
      <c r="M55" s="6" t="s">
        <v>26</v>
      </c>
      <c r="N55" s="9">
        <v>0</v>
      </c>
      <c r="O55" s="6"/>
      <c r="P55" s="34">
        <f>L55</f>
        <v>32460.75</v>
      </c>
      <c r="Q55" s="42" t="s">
        <v>27</v>
      </c>
      <c r="R55" s="42" t="s">
        <v>27</v>
      </c>
      <c r="S55" s="20">
        <v>45050</v>
      </c>
      <c r="T55" s="217">
        <v>1047200</v>
      </c>
      <c r="U55" s="6" t="s">
        <v>84</v>
      </c>
      <c r="V55" s="6"/>
    </row>
    <row r="56" spans="1:22" ht="18" customHeight="1" x14ac:dyDescent="0.3">
      <c r="A56" s="6"/>
      <c r="B56" s="46" t="s">
        <v>522</v>
      </c>
      <c r="C56" s="207" t="s">
        <v>523</v>
      </c>
      <c r="D56" s="32" t="s">
        <v>524</v>
      </c>
      <c r="E56" s="20">
        <v>45026</v>
      </c>
      <c r="F56" s="33" t="s">
        <v>99</v>
      </c>
      <c r="G56" s="6" t="s">
        <v>213</v>
      </c>
      <c r="H56" s="6" t="s">
        <v>24</v>
      </c>
      <c r="I56" s="6"/>
      <c r="J56" s="9" t="s">
        <v>47</v>
      </c>
      <c r="K56" s="9">
        <v>51588.99</v>
      </c>
      <c r="L56" s="9">
        <f>K56*0.12</f>
        <v>6190.6787999999997</v>
      </c>
      <c r="M56" s="6" t="s">
        <v>26</v>
      </c>
      <c r="N56" s="9">
        <v>0</v>
      </c>
      <c r="O56" s="9"/>
      <c r="P56" s="34">
        <f>L56</f>
        <v>6190.6787999999997</v>
      </c>
      <c r="Q56" s="42" t="s">
        <v>27</v>
      </c>
      <c r="R56" s="42" t="s">
        <v>27</v>
      </c>
      <c r="S56" s="20">
        <v>45050</v>
      </c>
      <c r="T56" s="217">
        <v>1047200</v>
      </c>
      <c r="U56" s="6" t="s">
        <v>84</v>
      </c>
      <c r="V56" s="6"/>
    </row>
    <row r="57" spans="1:22" ht="18" customHeight="1" x14ac:dyDescent="0.3">
      <c r="A57" s="6"/>
      <c r="B57" s="46" t="s">
        <v>525</v>
      </c>
      <c r="C57" s="207" t="s">
        <v>526</v>
      </c>
      <c r="D57" s="32" t="s">
        <v>527</v>
      </c>
      <c r="E57" s="20">
        <v>45035</v>
      </c>
      <c r="F57" s="33" t="s">
        <v>99</v>
      </c>
      <c r="G57" s="6" t="s">
        <v>213</v>
      </c>
      <c r="H57" s="6" t="s">
        <v>78</v>
      </c>
      <c r="I57" s="6"/>
      <c r="J57" s="9" t="s">
        <v>47</v>
      </c>
      <c r="K57" s="9">
        <v>96000</v>
      </c>
      <c r="L57" s="9">
        <f>K57*0.12</f>
        <v>11520</v>
      </c>
      <c r="M57" s="6" t="s">
        <v>26</v>
      </c>
      <c r="N57" s="9">
        <v>0</v>
      </c>
      <c r="O57" s="9"/>
      <c r="P57" s="34">
        <f>L57</f>
        <v>11520</v>
      </c>
      <c r="Q57" s="42" t="s">
        <v>27</v>
      </c>
      <c r="R57" s="42" t="s">
        <v>27</v>
      </c>
      <c r="S57" s="20">
        <v>45062</v>
      </c>
      <c r="T57" s="226">
        <v>1047200</v>
      </c>
      <c r="U57" s="6" t="s">
        <v>84</v>
      </c>
      <c r="V57" s="6"/>
    </row>
    <row r="58" spans="1:22" ht="18" customHeight="1" x14ac:dyDescent="0.3">
      <c r="A58" s="6"/>
      <c r="B58" s="234" t="s">
        <v>528</v>
      </c>
      <c r="C58" s="207" t="s">
        <v>529</v>
      </c>
      <c r="D58" s="217">
        <v>516103</v>
      </c>
      <c r="E58" s="20">
        <v>45068</v>
      </c>
      <c r="F58" s="33" t="s">
        <v>84</v>
      </c>
      <c r="G58" s="6" t="s">
        <v>145</v>
      </c>
      <c r="H58" s="6" t="s">
        <v>46</v>
      </c>
      <c r="I58" s="6"/>
      <c r="J58" s="9" t="s">
        <v>25</v>
      </c>
      <c r="K58" s="9">
        <v>7952.44</v>
      </c>
      <c r="L58" s="9">
        <f>K58*0.15</f>
        <v>1192.866</v>
      </c>
      <c r="M58" s="6" t="s">
        <v>72</v>
      </c>
      <c r="N58" s="9">
        <f>L58*0.8</f>
        <v>954.29280000000006</v>
      </c>
      <c r="O58" s="42" t="s">
        <v>27</v>
      </c>
      <c r="P58" s="34">
        <f>L58*0.2</f>
        <v>238.57320000000001</v>
      </c>
      <c r="Q58" s="42" t="s">
        <v>27</v>
      </c>
      <c r="R58" s="42" t="s">
        <v>27</v>
      </c>
      <c r="S58" s="20">
        <v>45075</v>
      </c>
      <c r="T58" s="6" t="s">
        <v>506</v>
      </c>
      <c r="U58" s="6" t="s">
        <v>84</v>
      </c>
      <c r="V58" s="6"/>
    </row>
    <row r="59" spans="1:22" ht="18" customHeight="1" x14ac:dyDescent="0.3">
      <c r="A59" s="6" t="s">
        <v>414</v>
      </c>
      <c r="B59" s="6" t="s">
        <v>414</v>
      </c>
      <c r="C59" s="207" t="s">
        <v>415</v>
      </c>
      <c r="D59" s="217">
        <v>1074401</v>
      </c>
      <c r="E59" s="20">
        <v>45013</v>
      </c>
      <c r="F59" s="33" t="s">
        <v>99</v>
      </c>
      <c r="G59" s="6" t="s">
        <v>71</v>
      </c>
      <c r="H59" s="6" t="s">
        <v>155</v>
      </c>
      <c r="I59" s="6"/>
      <c r="J59" s="9" t="s">
        <v>25</v>
      </c>
      <c r="K59" s="9">
        <v>244099.20000000001</v>
      </c>
      <c r="L59" s="9">
        <f>K59*0.18</f>
        <v>43937.856</v>
      </c>
      <c r="M59" s="9" t="s">
        <v>26</v>
      </c>
      <c r="N59" s="9"/>
      <c r="O59" s="34"/>
      <c r="P59" s="34">
        <f>L59</f>
        <v>43937.856</v>
      </c>
      <c r="Q59" s="42" t="s">
        <v>27</v>
      </c>
      <c r="R59" s="42" t="s">
        <v>27</v>
      </c>
      <c r="S59" s="20">
        <v>45097</v>
      </c>
      <c r="T59" s="6" t="s">
        <v>530</v>
      </c>
      <c r="U59" s="204" t="s">
        <v>119</v>
      </c>
      <c r="V59" s="6"/>
    </row>
    <row r="60" spans="1:22" ht="18" customHeight="1" x14ac:dyDescent="0.3">
      <c r="A60" s="6" t="s">
        <v>531</v>
      </c>
      <c r="B60" s="46" t="s">
        <v>525</v>
      </c>
      <c r="C60" s="207" t="s">
        <v>532</v>
      </c>
      <c r="D60" s="217">
        <v>1127801</v>
      </c>
      <c r="E60" s="20">
        <v>45063</v>
      </c>
      <c r="F60" s="33" t="s">
        <v>84</v>
      </c>
      <c r="G60" s="6" t="s">
        <v>71</v>
      </c>
      <c r="H60" s="6" t="s">
        <v>155</v>
      </c>
      <c r="I60" s="6"/>
      <c r="J60" s="9" t="s">
        <v>25</v>
      </c>
      <c r="K60" s="9">
        <v>244788.28</v>
      </c>
      <c r="L60" s="9">
        <f>K60*0.15</f>
        <v>36718.241999999998</v>
      </c>
      <c r="M60" s="9" t="s">
        <v>26</v>
      </c>
      <c r="N60" s="9"/>
      <c r="O60" s="34"/>
      <c r="P60" s="34">
        <f>L60</f>
        <v>36718.241999999998</v>
      </c>
      <c r="Q60" s="42" t="s">
        <v>27</v>
      </c>
      <c r="R60" s="42" t="s">
        <v>27</v>
      </c>
      <c r="S60" s="20">
        <v>45090</v>
      </c>
      <c r="T60" s="32" t="s">
        <v>533</v>
      </c>
      <c r="U60" s="6" t="s">
        <v>119</v>
      </c>
      <c r="V60" s="6"/>
    </row>
    <row r="61" spans="1:22" ht="18" customHeight="1" x14ac:dyDescent="0.3">
      <c r="A61" s="6" t="s">
        <v>531</v>
      </c>
      <c r="B61" s="46" t="s">
        <v>525</v>
      </c>
      <c r="C61" s="207" t="s">
        <v>534</v>
      </c>
      <c r="D61" s="217">
        <v>1127901</v>
      </c>
      <c r="E61" s="20">
        <v>45063</v>
      </c>
      <c r="F61" s="33" t="s">
        <v>84</v>
      </c>
      <c r="G61" s="6" t="s">
        <v>71</v>
      </c>
      <c r="H61" s="6" t="s">
        <v>155</v>
      </c>
      <c r="I61" s="6"/>
      <c r="J61" s="9" t="s">
        <v>25</v>
      </c>
      <c r="K61" s="9">
        <v>244787.20000000001</v>
      </c>
      <c r="L61" s="9">
        <f>K61*0.15</f>
        <v>36718.080000000002</v>
      </c>
      <c r="M61" s="9" t="s">
        <v>26</v>
      </c>
      <c r="N61" s="9"/>
      <c r="O61" s="34"/>
      <c r="P61" s="34">
        <f>L61</f>
        <v>36718.080000000002</v>
      </c>
      <c r="Q61" s="42" t="s">
        <v>27</v>
      </c>
      <c r="R61" s="42" t="s">
        <v>27</v>
      </c>
      <c r="S61" s="20">
        <v>45090</v>
      </c>
      <c r="T61" s="6" t="s">
        <v>533</v>
      </c>
      <c r="U61" s="6" t="s">
        <v>119</v>
      </c>
      <c r="V61" s="6"/>
    </row>
    <row r="62" spans="1:22" ht="18" customHeight="1" x14ac:dyDescent="0.3">
      <c r="A62" s="6"/>
      <c r="B62" s="6" t="s">
        <v>510</v>
      </c>
      <c r="C62" s="207" t="s">
        <v>511</v>
      </c>
      <c r="D62" s="217">
        <v>1138201</v>
      </c>
      <c r="E62" s="20">
        <v>45071</v>
      </c>
      <c r="F62" s="33" t="s">
        <v>84</v>
      </c>
      <c r="G62" s="208" t="s">
        <v>71</v>
      </c>
      <c r="H62" s="6" t="s">
        <v>155</v>
      </c>
      <c r="I62" s="6"/>
      <c r="J62" s="36" t="s">
        <v>25</v>
      </c>
      <c r="K62" s="9">
        <v>246839</v>
      </c>
      <c r="L62" s="9">
        <f>K62*0.18</f>
        <v>44431.02</v>
      </c>
      <c r="M62" s="9" t="s">
        <v>26</v>
      </c>
      <c r="N62" s="9"/>
      <c r="O62" s="34"/>
      <c r="P62" s="34">
        <f>L62</f>
        <v>44431.02</v>
      </c>
      <c r="Q62" s="42" t="s">
        <v>27</v>
      </c>
      <c r="R62" s="42" t="s">
        <v>27</v>
      </c>
      <c r="S62" s="20">
        <v>45090</v>
      </c>
      <c r="T62" s="32" t="s">
        <v>533</v>
      </c>
      <c r="U62" s="6" t="s">
        <v>119</v>
      </c>
      <c r="V62" s="6"/>
    </row>
    <row r="63" spans="1:22" ht="18" customHeight="1" x14ac:dyDescent="0.3">
      <c r="A63" s="6"/>
      <c r="B63" s="6" t="s">
        <v>535</v>
      </c>
      <c r="C63" s="207" t="s">
        <v>536</v>
      </c>
      <c r="D63" t="s">
        <v>537</v>
      </c>
      <c r="E63" s="20">
        <v>45070</v>
      </c>
      <c r="F63" s="33" t="s">
        <v>84</v>
      </c>
      <c r="G63" s="6" t="s">
        <v>57</v>
      </c>
      <c r="H63" s="6" t="s">
        <v>78</v>
      </c>
      <c r="I63" s="6"/>
      <c r="J63" s="9" t="s">
        <v>47</v>
      </c>
      <c r="K63" s="9">
        <v>680872.92</v>
      </c>
      <c r="L63" s="9">
        <f>K63*0.15</f>
        <v>102130.93800000001</v>
      </c>
      <c r="M63" s="6" t="s">
        <v>79</v>
      </c>
      <c r="N63" s="9">
        <f>L63*0.5</f>
        <v>51065.469000000005</v>
      </c>
      <c r="O63" s="174" t="s">
        <v>340</v>
      </c>
      <c r="P63" s="34">
        <f>L63*0.5</f>
        <v>51065.469000000005</v>
      </c>
      <c r="Q63" s="42" t="s">
        <v>27</v>
      </c>
      <c r="R63" s="42" t="s">
        <v>27</v>
      </c>
      <c r="S63" s="20">
        <v>45097</v>
      </c>
      <c r="T63" s="41">
        <v>1059773</v>
      </c>
      <c r="U63" s="205" t="s">
        <v>119</v>
      </c>
      <c r="V63" s="6"/>
    </row>
    <row r="64" spans="1:22" ht="18" customHeight="1" x14ac:dyDescent="0.3">
      <c r="A64" s="6"/>
      <c r="B64" s="6" t="s">
        <v>535</v>
      </c>
      <c r="C64" s="207" t="s">
        <v>536</v>
      </c>
      <c r="D64" s="32" t="s">
        <v>538</v>
      </c>
      <c r="E64" s="20">
        <v>45070</v>
      </c>
      <c r="F64" s="33" t="s">
        <v>84</v>
      </c>
      <c r="G64" s="6" t="s">
        <v>213</v>
      </c>
      <c r="H64" s="6" t="s">
        <v>78</v>
      </c>
      <c r="I64" s="6"/>
      <c r="J64" s="9" t="s">
        <v>47</v>
      </c>
      <c r="K64" s="9">
        <v>341000</v>
      </c>
      <c r="L64" s="9">
        <f>K64*0.12</f>
        <v>40920</v>
      </c>
      <c r="M64" s="6" t="s">
        <v>72</v>
      </c>
      <c r="N64" s="9">
        <f>L64*0.2</f>
        <v>8184</v>
      </c>
      <c r="O64" s="42" t="s">
        <v>27</v>
      </c>
      <c r="P64" s="34">
        <f>L64*0.8</f>
        <v>32736</v>
      </c>
      <c r="Q64" s="42" t="s">
        <v>27</v>
      </c>
      <c r="R64" s="42" t="s">
        <v>27</v>
      </c>
      <c r="S64" s="20">
        <v>45097</v>
      </c>
      <c r="T64" s="217">
        <v>1059773</v>
      </c>
      <c r="U64" s="6" t="s">
        <v>119</v>
      </c>
      <c r="V64" s="6"/>
    </row>
    <row r="65" spans="1:22" ht="18" customHeight="1" x14ac:dyDescent="0.3">
      <c r="A65" s="6"/>
      <c r="B65" s="6" t="s">
        <v>539</v>
      </c>
      <c r="C65" s="46" t="s">
        <v>540</v>
      </c>
      <c r="D65" s="217">
        <v>1147801</v>
      </c>
      <c r="E65" s="20">
        <v>45077</v>
      </c>
      <c r="F65" s="33" t="s">
        <v>84</v>
      </c>
      <c r="G65" s="6" t="s">
        <v>57</v>
      </c>
      <c r="H65" s="6" t="s">
        <v>118</v>
      </c>
      <c r="I65" s="6" t="s">
        <v>417</v>
      </c>
      <c r="J65" s="9" t="s">
        <v>25</v>
      </c>
      <c r="K65" s="9">
        <v>213198.6</v>
      </c>
      <c r="L65" s="9">
        <f>K65*0.18</f>
        <v>38375.748</v>
      </c>
      <c r="M65" s="9" t="s">
        <v>79</v>
      </c>
      <c r="N65" s="9">
        <f>L65*0.5</f>
        <v>19187.874</v>
      </c>
      <c r="O65" s="232" t="s">
        <v>27</v>
      </c>
      <c r="P65" s="34">
        <f>L65*0.5</f>
        <v>19187.874</v>
      </c>
      <c r="Q65" s="42" t="s">
        <v>27</v>
      </c>
      <c r="R65" s="42" t="s">
        <v>27</v>
      </c>
      <c r="S65" s="20">
        <v>45104</v>
      </c>
      <c r="T65" s="32" t="s">
        <v>541</v>
      </c>
      <c r="U65" s="6" t="s">
        <v>119</v>
      </c>
      <c r="V65" s="6"/>
    </row>
    <row r="66" spans="1:22" ht="18" customHeight="1" x14ac:dyDescent="0.3">
      <c r="A66" s="6"/>
      <c r="B66" s="6" t="s">
        <v>539</v>
      </c>
      <c r="C66" s="207" t="s">
        <v>540</v>
      </c>
      <c r="D66" s="217">
        <v>1158801</v>
      </c>
      <c r="E66" s="20">
        <v>45090</v>
      </c>
      <c r="F66" s="33" t="s">
        <v>119</v>
      </c>
      <c r="G66" s="6" t="s">
        <v>71</v>
      </c>
      <c r="H66" s="6" t="s">
        <v>155</v>
      </c>
      <c r="I66" s="6"/>
      <c r="J66" s="9" t="s">
        <v>25</v>
      </c>
      <c r="K66" s="9">
        <v>241819.43</v>
      </c>
      <c r="L66" s="9">
        <f>K66*0.18</f>
        <v>43527.4974</v>
      </c>
      <c r="M66" s="9" t="s">
        <v>26</v>
      </c>
      <c r="N66" s="9"/>
      <c r="O66" s="34"/>
      <c r="P66" s="34">
        <f>L66</f>
        <v>43527.4974</v>
      </c>
      <c r="Q66" s="42" t="s">
        <v>27</v>
      </c>
      <c r="R66" s="42" t="s">
        <v>27</v>
      </c>
      <c r="S66" s="20">
        <v>45104</v>
      </c>
      <c r="T66" s="32" t="s">
        <v>541</v>
      </c>
      <c r="U66" s="6" t="s">
        <v>119</v>
      </c>
      <c r="V66" s="6"/>
    </row>
    <row r="67" spans="1:22" ht="18" customHeight="1" x14ac:dyDescent="0.3">
      <c r="A67" s="6"/>
      <c r="B67" s="46" t="s">
        <v>542</v>
      </c>
      <c r="C67" s="207" t="s">
        <v>543</v>
      </c>
      <c r="D67" s="32" t="s">
        <v>544</v>
      </c>
      <c r="E67" s="20">
        <v>45077</v>
      </c>
      <c r="F67" s="33" t="s">
        <v>84</v>
      </c>
      <c r="G67" s="6" t="s">
        <v>57</v>
      </c>
      <c r="H67" s="6" t="s">
        <v>78</v>
      </c>
      <c r="I67" s="6"/>
      <c r="J67" s="9" t="s">
        <v>47</v>
      </c>
      <c r="K67" s="9">
        <v>606994.93000000005</v>
      </c>
      <c r="L67" s="9">
        <f>K67*0.15</f>
        <v>91049.239500000011</v>
      </c>
      <c r="M67" s="6" t="s">
        <v>79</v>
      </c>
      <c r="N67" s="9">
        <f>L67*0.5</f>
        <v>45524.619750000005</v>
      </c>
      <c r="O67" s="174" t="s">
        <v>340</v>
      </c>
      <c r="P67" s="34">
        <f>L67*0.5</f>
        <v>45524.619750000005</v>
      </c>
      <c r="Q67" s="42" t="s">
        <v>27</v>
      </c>
      <c r="R67" s="42" t="s">
        <v>27</v>
      </c>
      <c r="S67" s="20">
        <v>45097</v>
      </c>
      <c r="T67" s="41">
        <v>1059773</v>
      </c>
      <c r="U67" s="6" t="s">
        <v>119</v>
      </c>
      <c r="V67" s="6"/>
    </row>
    <row r="68" spans="1:22" ht="18" customHeight="1" x14ac:dyDescent="0.3">
      <c r="A68" s="6"/>
      <c r="B68" s="46" t="s">
        <v>542</v>
      </c>
      <c r="C68" s="207" t="s">
        <v>543</v>
      </c>
      <c r="D68" s="32" t="s">
        <v>545</v>
      </c>
      <c r="E68" s="20">
        <v>45077</v>
      </c>
      <c r="F68" s="33" t="s">
        <v>84</v>
      </c>
      <c r="G68" s="6" t="s">
        <v>213</v>
      </c>
      <c r="H68" s="6" t="s">
        <v>78</v>
      </c>
      <c r="I68" s="6"/>
      <c r="J68" s="9" t="s">
        <v>47</v>
      </c>
      <c r="K68" s="9">
        <v>299000</v>
      </c>
      <c r="L68" s="9">
        <f>K68*0.12</f>
        <v>35880</v>
      </c>
      <c r="M68" s="6" t="s">
        <v>72</v>
      </c>
      <c r="N68" s="9">
        <f>L68*0.2</f>
        <v>7176</v>
      </c>
      <c r="O68" s="42" t="s">
        <v>27</v>
      </c>
      <c r="P68" s="34">
        <f>L68*0.8</f>
        <v>28704</v>
      </c>
      <c r="Q68" s="42" t="s">
        <v>27</v>
      </c>
      <c r="R68" s="42" t="s">
        <v>27</v>
      </c>
      <c r="S68" s="20">
        <v>45097</v>
      </c>
      <c r="T68" s="41">
        <v>1059773</v>
      </c>
      <c r="U68" s="6" t="s">
        <v>119</v>
      </c>
      <c r="V68" s="6"/>
    </row>
    <row r="69" spans="1:22" ht="18" customHeight="1" x14ac:dyDescent="0.3">
      <c r="A69" s="6"/>
      <c r="B69" s="46" t="s">
        <v>546</v>
      </c>
      <c r="C69" s="207" t="s">
        <v>547</v>
      </c>
      <c r="D69" s="217">
        <v>1142401</v>
      </c>
      <c r="E69" s="20">
        <v>45075</v>
      </c>
      <c r="F69" s="33" t="s">
        <v>84</v>
      </c>
      <c r="G69" s="6" t="s">
        <v>71</v>
      </c>
      <c r="H69" s="6" t="s">
        <v>24</v>
      </c>
      <c r="I69" s="6"/>
      <c r="J69" s="9" t="s">
        <v>25</v>
      </c>
      <c r="K69" s="9">
        <v>235310.8</v>
      </c>
      <c r="L69" s="9">
        <f>K69*0.15</f>
        <v>35296.619999999995</v>
      </c>
      <c r="M69" s="6" t="s">
        <v>26</v>
      </c>
      <c r="N69" s="9">
        <v>0</v>
      </c>
      <c r="O69" s="46"/>
      <c r="P69" s="34">
        <f>L69</f>
        <v>35296.619999999995</v>
      </c>
      <c r="Q69" s="42" t="s">
        <v>27</v>
      </c>
      <c r="R69" s="42" t="s">
        <v>27</v>
      </c>
      <c r="S69" s="20">
        <v>45077</v>
      </c>
      <c r="T69" s="6" t="s">
        <v>548</v>
      </c>
      <c r="U69" s="6" t="s">
        <v>119</v>
      </c>
      <c r="V69" s="6"/>
    </row>
    <row r="70" spans="1:22" ht="18" customHeight="1" x14ac:dyDescent="0.3">
      <c r="A70" s="6"/>
      <c r="B70" s="6" t="s">
        <v>474</v>
      </c>
      <c r="C70" s="207" t="s">
        <v>549</v>
      </c>
      <c r="D70" s="32" t="s">
        <v>476</v>
      </c>
      <c r="E70" s="20">
        <v>44995</v>
      </c>
      <c r="F70" s="33" t="s">
        <v>28</v>
      </c>
      <c r="G70" s="6" t="s">
        <v>53</v>
      </c>
      <c r="H70" s="6" t="s">
        <v>24</v>
      </c>
      <c r="I70" s="6"/>
      <c r="J70" s="9" t="s">
        <v>47</v>
      </c>
      <c r="K70" s="9">
        <v>30091.57</v>
      </c>
      <c r="L70" s="9">
        <f>K70*0.1</f>
        <v>3009.1570000000002</v>
      </c>
      <c r="M70" s="6" t="s">
        <v>26</v>
      </c>
      <c r="N70" s="9">
        <v>0</v>
      </c>
      <c r="O70" s="9"/>
      <c r="P70" s="34">
        <f>L70</f>
        <v>3009.1570000000002</v>
      </c>
      <c r="Q70" s="42" t="s">
        <v>27</v>
      </c>
      <c r="R70" s="42" t="s">
        <v>27</v>
      </c>
      <c r="S70" s="20">
        <v>45083</v>
      </c>
      <c r="T70" s="41">
        <v>1059773</v>
      </c>
      <c r="U70" s="6" t="s">
        <v>119</v>
      </c>
      <c r="V70" s="6"/>
    </row>
    <row r="71" spans="1:22" ht="18" customHeight="1" x14ac:dyDescent="0.3">
      <c r="A71" s="15"/>
      <c r="B71" s="6" t="s">
        <v>492</v>
      </c>
      <c r="C71" s="207" t="s">
        <v>550</v>
      </c>
      <c r="D71" s="32" t="s">
        <v>551</v>
      </c>
      <c r="E71" s="20">
        <v>45091</v>
      </c>
      <c r="F71" s="33" t="s">
        <v>119</v>
      </c>
      <c r="G71" s="6" t="s">
        <v>53</v>
      </c>
      <c r="H71" s="6" t="s">
        <v>24</v>
      </c>
      <c r="I71" s="6"/>
      <c r="J71" s="9" t="s">
        <v>47</v>
      </c>
      <c r="K71" s="9">
        <v>199918.75</v>
      </c>
      <c r="L71" s="9">
        <f>K71*0.1</f>
        <v>19991.875</v>
      </c>
      <c r="M71" s="6" t="s">
        <v>26</v>
      </c>
      <c r="N71" s="9">
        <v>0</v>
      </c>
      <c r="O71" s="9"/>
      <c r="P71" s="34">
        <f>L71</f>
        <v>19991.875</v>
      </c>
      <c r="Q71" s="42" t="s">
        <v>27</v>
      </c>
      <c r="R71" s="42" t="s">
        <v>27</v>
      </c>
      <c r="S71" s="20">
        <v>45104</v>
      </c>
      <c r="T71" s="41">
        <v>1059773</v>
      </c>
      <c r="U71" s="6" t="s">
        <v>119</v>
      </c>
      <c r="V71" s="6"/>
    </row>
    <row r="72" spans="1:22" ht="18" customHeight="1" x14ac:dyDescent="0.3">
      <c r="A72" s="6" t="s">
        <v>552</v>
      </c>
      <c r="B72" s="46" t="s">
        <v>525</v>
      </c>
      <c r="C72" s="207" t="s">
        <v>553</v>
      </c>
      <c r="D72" s="32" t="s">
        <v>554</v>
      </c>
      <c r="E72" s="20">
        <v>45089</v>
      </c>
      <c r="F72" s="33" t="s">
        <v>119</v>
      </c>
      <c r="G72" s="6" t="s">
        <v>57</v>
      </c>
      <c r="H72" s="6" t="s">
        <v>78</v>
      </c>
      <c r="I72" s="6"/>
      <c r="J72" s="9" t="s">
        <v>47</v>
      </c>
      <c r="K72" s="9">
        <v>428306.87</v>
      </c>
      <c r="L72" s="9">
        <f>K72*0.15</f>
        <v>64246.030499999993</v>
      </c>
      <c r="M72" s="9" t="s">
        <v>79</v>
      </c>
      <c r="N72" s="9">
        <f>L72*0.5</f>
        <v>32123.015249999997</v>
      </c>
      <c r="O72" s="174" t="s">
        <v>340</v>
      </c>
      <c r="P72" s="34">
        <f>L72*0.5</f>
        <v>32123.015249999997</v>
      </c>
      <c r="Q72" s="42" t="s">
        <v>27</v>
      </c>
      <c r="R72" s="42" t="s">
        <v>27</v>
      </c>
      <c r="S72" s="20">
        <v>45113</v>
      </c>
      <c r="T72" s="41">
        <v>1072988</v>
      </c>
      <c r="U72" s="6" t="s">
        <v>144</v>
      </c>
      <c r="V72" s="6"/>
    </row>
    <row r="73" spans="1:22" ht="18" customHeight="1" x14ac:dyDescent="0.3">
      <c r="A73" s="6" t="s">
        <v>552</v>
      </c>
      <c r="B73" s="46" t="s">
        <v>525</v>
      </c>
      <c r="C73" s="207" t="s">
        <v>553</v>
      </c>
      <c r="D73" s="32" t="s">
        <v>555</v>
      </c>
      <c r="E73" s="20">
        <v>45089</v>
      </c>
      <c r="F73" s="33" t="s">
        <v>119</v>
      </c>
      <c r="G73" s="6" t="s">
        <v>213</v>
      </c>
      <c r="H73" s="6" t="s">
        <v>78</v>
      </c>
      <c r="I73" s="6"/>
      <c r="J73" s="9" t="s">
        <v>47</v>
      </c>
      <c r="K73" s="9">
        <v>299000</v>
      </c>
      <c r="L73" s="9">
        <f>K73*0.12</f>
        <v>35880</v>
      </c>
      <c r="M73" s="9" t="s">
        <v>72</v>
      </c>
      <c r="N73" s="9">
        <f>L73*0.2</f>
        <v>7176</v>
      </c>
      <c r="O73" s="42" t="s">
        <v>27</v>
      </c>
      <c r="P73" s="34">
        <f>L73*0.8</f>
        <v>28704</v>
      </c>
      <c r="Q73" s="42" t="s">
        <v>27</v>
      </c>
      <c r="R73" s="42" t="s">
        <v>27</v>
      </c>
      <c r="S73" s="20">
        <v>45113</v>
      </c>
      <c r="T73" s="41">
        <v>1072988</v>
      </c>
      <c r="U73" s="6" t="s">
        <v>144</v>
      </c>
      <c r="V73" s="6"/>
    </row>
    <row r="74" spans="1:22" ht="18" customHeight="1" x14ac:dyDescent="0.3">
      <c r="A74" s="6" t="s">
        <v>556</v>
      </c>
      <c r="B74" s="234" t="s">
        <v>556</v>
      </c>
      <c r="C74" s="207" t="s">
        <v>557</v>
      </c>
      <c r="D74" s="217">
        <v>1172801</v>
      </c>
      <c r="E74" s="20">
        <v>45104</v>
      </c>
      <c r="F74" s="33" t="s">
        <v>119</v>
      </c>
      <c r="G74" s="6" t="s">
        <v>558</v>
      </c>
      <c r="H74" s="6" t="s">
        <v>24</v>
      </c>
      <c r="I74" s="6"/>
      <c r="J74" s="9" t="s">
        <v>25</v>
      </c>
      <c r="K74" s="9">
        <v>2500</v>
      </c>
      <c r="L74" s="9">
        <f>K74*0.15</f>
        <v>375</v>
      </c>
      <c r="M74" s="9" t="s">
        <v>26</v>
      </c>
      <c r="N74" s="9">
        <v>0</v>
      </c>
      <c r="O74" s="9"/>
      <c r="P74" s="34">
        <f>L74</f>
        <v>375</v>
      </c>
      <c r="Q74" s="42" t="s">
        <v>27</v>
      </c>
      <c r="R74" s="42" t="s">
        <v>27</v>
      </c>
      <c r="S74" s="20">
        <v>45117</v>
      </c>
      <c r="T74" s="6" t="s">
        <v>559</v>
      </c>
      <c r="U74" s="6" t="s">
        <v>144</v>
      </c>
      <c r="V74" s="6"/>
    </row>
    <row r="75" spans="1:22" ht="18" customHeight="1" x14ac:dyDescent="0.3">
      <c r="A75" s="6" t="s">
        <v>560</v>
      </c>
      <c r="B75" s="6" t="s">
        <v>560</v>
      </c>
      <c r="C75" s="207" t="s">
        <v>561</v>
      </c>
      <c r="D75" s="32" t="s">
        <v>562</v>
      </c>
      <c r="E75" s="20">
        <v>44952</v>
      </c>
      <c r="F75" s="33" t="s">
        <v>44</v>
      </c>
      <c r="G75" s="6" t="s">
        <v>57</v>
      </c>
      <c r="H75" s="6" t="s">
        <v>563</v>
      </c>
      <c r="I75" s="6"/>
      <c r="J75" s="9" t="s">
        <v>315</v>
      </c>
      <c r="K75" s="9">
        <v>844936.71</v>
      </c>
      <c r="L75" s="9">
        <f>57033.23</f>
        <v>57033.23</v>
      </c>
      <c r="M75" s="9" t="s">
        <v>26</v>
      </c>
      <c r="N75" s="9">
        <v>0</v>
      </c>
      <c r="O75" s="9"/>
      <c r="P75" s="34">
        <f>L75</f>
        <v>57033.23</v>
      </c>
      <c r="Q75" s="42" t="s">
        <v>27</v>
      </c>
      <c r="R75" s="42" t="s">
        <v>27</v>
      </c>
      <c r="S75" s="6"/>
      <c r="T75" s="6"/>
      <c r="U75" s="6" t="s">
        <v>144</v>
      </c>
      <c r="V75" s="6" t="s">
        <v>316</v>
      </c>
    </row>
    <row r="76" spans="1:22" ht="18" customHeight="1" x14ac:dyDescent="0.3">
      <c r="A76" s="6"/>
      <c r="B76" s="46" t="s">
        <v>564</v>
      </c>
      <c r="C76" s="207" t="s">
        <v>565</v>
      </c>
      <c r="D76" s="32" t="s">
        <v>566</v>
      </c>
      <c r="E76" s="20">
        <v>45106</v>
      </c>
      <c r="F76" s="179" t="s">
        <v>119</v>
      </c>
      <c r="G76" s="6" t="s">
        <v>57</v>
      </c>
      <c r="H76" s="6" t="s">
        <v>78</v>
      </c>
      <c r="I76" s="6"/>
      <c r="J76" s="9" t="s">
        <v>47</v>
      </c>
      <c r="K76" s="9">
        <v>1383194.16</v>
      </c>
      <c r="L76" s="9">
        <f>K76*0.15</f>
        <v>207479.12399999998</v>
      </c>
      <c r="M76" s="6" t="s">
        <v>79</v>
      </c>
      <c r="N76" s="9">
        <f>L76*0.5</f>
        <v>103739.56199999999</v>
      </c>
      <c r="O76" s="174" t="s">
        <v>340</v>
      </c>
      <c r="P76" s="34">
        <f>L76*0.5</f>
        <v>103739.56199999999</v>
      </c>
      <c r="Q76" s="42" t="s">
        <v>27</v>
      </c>
      <c r="R76" s="42" t="s">
        <v>27</v>
      </c>
      <c r="S76" s="20">
        <v>45132</v>
      </c>
      <c r="T76" s="41">
        <v>1072988</v>
      </c>
      <c r="U76" s="6" t="s">
        <v>144</v>
      </c>
      <c r="V76" s="6"/>
    </row>
    <row r="77" spans="1:22" ht="18" customHeight="1" x14ac:dyDescent="0.3">
      <c r="B77" s="46" t="s">
        <v>564</v>
      </c>
      <c r="C77" s="207" t="s">
        <v>565</v>
      </c>
      <c r="D77" s="32" t="s">
        <v>567</v>
      </c>
      <c r="E77" s="20">
        <v>45106</v>
      </c>
      <c r="F77" s="33" t="s">
        <v>119</v>
      </c>
      <c r="G77" s="6" t="s">
        <v>213</v>
      </c>
      <c r="H77" s="6" t="s">
        <v>78</v>
      </c>
      <c r="I77" s="6"/>
      <c r="J77" s="9" t="s">
        <v>47</v>
      </c>
      <c r="K77" s="9">
        <v>440000</v>
      </c>
      <c r="L77" s="9">
        <f>K77*0.12</f>
        <v>52800</v>
      </c>
      <c r="M77" s="9" t="s">
        <v>72</v>
      </c>
      <c r="N77" s="9">
        <f>L77*0.2</f>
        <v>10560</v>
      </c>
      <c r="O77" s="42" t="s">
        <v>27</v>
      </c>
      <c r="P77" s="34">
        <f>L77*0.8</f>
        <v>42240</v>
      </c>
      <c r="Q77" s="42" t="s">
        <v>27</v>
      </c>
      <c r="R77" s="42" t="s">
        <v>27</v>
      </c>
      <c r="S77" s="20">
        <v>45132</v>
      </c>
      <c r="T77" s="41">
        <v>1072988</v>
      </c>
      <c r="U77" s="6" t="s">
        <v>144</v>
      </c>
      <c r="V77" s="6"/>
    </row>
    <row r="78" spans="1:22" ht="18" customHeight="1" x14ac:dyDescent="0.3">
      <c r="B78" s="46" t="s">
        <v>568</v>
      </c>
      <c r="C78" s="229" t="s">
        <v>569</v>
      </c>
      <c r="D78" s="220">
        <v>1187501</v>
      </c>
      <c r="E78" s="20">
        <v>45113</v>
      </c>
      <c r="F78" s="33" t="s">
        <v>144</v>
      </c>
      <c r="G78" s="6" t="s">
        <v>71</v>
      </c>
      <c r="H78" s="6" t="s">
        <v>46</v>
      </c>
      <c r="I78" s="6"/>
      <c r="J78" s="9" t="s">
        <v>25</v>
      </c>
      <c r="K78" s="9">
        <v>292038.93</v>
      </c>
      <c r="L78" s="9">
        <f>K78*0.15</f>
        <v>43805.839499999995</v>
      </c>
      <c r="M78" s="6" t="s">
        <v>72</v>
      </c>
      <c r="N78" s="9">
        <f>L78*0.8</f>
        <v>35044.671599999994</v>
      </c>
      <c r="O78" s="42" t="s">
        <v>27</v>
      </c>
      <c r="P78" s="34">
        <f>L78*0.2</f>
        <v>8761.1678999999986</v>
      </c>
      <c r="Q78" s="42" t="s">
        <v>27</v>
      </c>
      <c r="R78" s="42" t="s">
        <v>27</v>
      </c>
      <c r="S78" s="20">
        <v>45125</v>
      </c>
      <c r="T78" s="6" t="s">
        <v>570</v>
      </c>
      <c r="U78" s="6" t="s">
        <v>144</v>
      </c>
      <c r="V78" s="6"/>
    </row>
    <row r="79" spans="1:22" ht="18" customHeight="1" x14ac:dyDescent="0.3">
      <c r="B79" s="207" t="s">
        <v>171</v>
      </c>
      <c r="C79" s="46" t="s">
        <v>571</v>
      </c>
      <c r="D79" s="217">
        <v>979701</v>
      </c>
      <c r="E79" s="20">
        <v>45075</v>
      </c>
      <c r="F79" s="33" t="s">
        <v>84</v>
      </c>
      <c r="G79" s="6" t="s">
        <v>53</v>
      </c>
      <c r="H79" s="6" t="s">
        <v>24</v>
      </c>
      <c r="I79" s="6"/>
      <c r="J79" s="9" t="s">
        <v>25</v>
      </c>
      <c r="K79" s="9">
        <v>5985.4549999999999</v>
      </c>
      <c r="L79" s="9">
        <f>K79*0.15</f>
        <v>897.81824999999992</v>
      </c>
      <c r="M79" s="6" t="s">
        <v>26</v>
      </c>
      <c r="N79" s="9">
        <v>0</v>
      </c>
      <c r="O79" s="9"/>
      <c r="P79" s="34">
        <f>L79</f>
        <v>897.81824999999992</v>
      </c>
      <c r="Q79" s="42" t="s">
        <v>27</v>
      </c>
      <c r="R79" s="42" t="s">
        <v>27</v>
      </c>
      <c r="S79" s="20">
        <v>45107</v>
      </c>
      <c r="T79" s="6" t="s">
        <v>572</v>
      </c>
      <c r="U79" s="6" t="s">
        <v>144</v>
      </c>
      <c r="V79" s="6"/>
    </row>
    <row r="80" spans="1:22" ht="18" customHeight="1" x14ac:dyDescent="0.3">
      <c r="B80" s="46" t="s">
        <v>171</v>
      </c>
      <c r="C80" s="207" t="s">
        <v>573</v>
      </c>
      <c r="D80" s="217">
        <v>1141601</v>
      </c>
      <c r="E80" s="20">
        <v>45075</v>
      </c>
      <c r="F80" s="33" t="s">
        <v>84</v>
      </c>
      <c r="G80" s="6" t="s">
        <v>57</v>
      </c>
      <c r="H80" s="6" t="s">
        <v>24</v>
      </c>
      <c r="I80" s="6"/>
      <c r="J80" s="9" t="s">
        <v>25</v>
      </c>
      <c r="K80" s="9">
        <v>10789.04</v>
      </c>
      <c r="L80" s="9">
        <f>K80*0.15</f>
        <v>1618.356</v>
      </c>
      <c r="M80" s="6" t="s">
        <v>26</v>
      </c>
      <c r="N80" s="9">
        <v>0</v>
      </c>
      <c r="O80" s="9"/>
      <c r="P80" s="34">
        <f>L80</f>
        <v>1618.356</v>
      </c>
      <c r="Q80" s="42" t="s">
        <v>27</v>
      </c>
      <c r="R80" s="42" t="s">
        <v>27</v>
      </c>
      <c r="S80" s="20">
        <v>45107</v>
      </c>
      <c r="T80" s="6" t="s">
        <v>572</v>
      </c>
      <c r="U80" s="6" t="s">
        <v>144</v>
      </c>
      <c r="V80" s="6"/>
    </row>
    <row r="81" spans="1:22" ht="18" customHeight="1" x14ac:dyDescent="0.3">
      <c r="B81" s="46" t="s">
        <v>574</v>
      </c>
      <c r="C81" s="207" t="s">
        <v>575</v>
      </c>
      <c r="D81" t="s">
        <v>576</v>
      </c>
      <c r="E81" s="20">
        <v>45068</v>
      </c>
      <c r="F81" s="33" t="s">
        <v>84</v>
      </c>
      <c r="G81" s="6" t="s">
        <v>71</v>
      </c>
      <c r="H81" s="6" t="s">
        <v>46</v>
      </c>
      <c r="I81" s="6"/>
      <c r="J81" s="9" t="s">
        <v>315</v>
      </c>
      <c r="K81" s="9">
        <v>410326.89</v>
      </c>
      <c r="L81" s="9">
        <f>8745.74</f>
        <v>8745.74</v>
      </c>
      <c r="M81" s="6" t="s">
        <v>26</v>
      </c>
      <c r="N81" s="9">
        <v>0</v>
      </c>
      <c r="O81" s="9"/>
      <c r="P81" s="34">
        <f>L81</f>
        <v>8745.74</v>
      </c>
      <c r="Q81" s="42" t="s">
        <v>27</v>
      </c>
      <c r="R81" s="42" t="s">
        <v>27</v>
      </c>
      <c r="S81" s="6"/>
      <c r="T81" s="6"/>
      <c r="U81" s="6" t="s">
        <v>144</v>
      </c>
      <c r="V81" s="6" t="s">
        <v>316</v>
      </c>
    </row>
    <row r="82" spans="1:22" ht="18" customHeight="1" x14ac:dyDescent="0.3">
      <c r="B82" s="234" t="s">
        <v>577</v>
      </c>
      <c r="C82" s="46" t="s">
        <v>578</v>
      </c>
      <c r="D82" s="217">
        <v>1171301</v>
      </c>
      <c r="E82" s="20">
        <v>45104</v>
      </c>
      <c r="F82" s="33" t="s">
        <v>119</v>
      </c>
      <c r="G82" s="6" t="s">
        <v>71</v>
      </c>
      <c r="H82" s="6" t="s">
        <v>24</v>
      </c>
      <c r="I82" s="6"/>
      <c r="J82" s="9" t="s">
        <v>25</v>
      </c>
      <c r="K82" s="9">
        <v>68313.2</v>
      </c>
      <c r="L82" s="9">
        <f>K82*0.15</f>
        <v>10246.98</v>
      </c>
      <c r="M82" s="6" t="s">
        <v>26</v>
      </c>
      <c r="N82" s="9">
        <v>0</v>
      </c>
      <c r="O82" s="9"/>
      <c r="P82" s="34">
        <f>L82</f>
        <v>10246.98</v>
      </c>
      <c r="Q82" s="42" t="s">
        <v>27</v>
      </c>
      <c r="R82" s="42" t="s">
        <v>27</v>
      </c>
      <c r="S82" s="20">
        <v>45125</v>
      </c>
      <c r="T82" s="6" t="s">
        <v>570</v>
      </c>
      <c r="U82" s="6" t="s">
        <v>144</v>
      </c>
      <c r="V82" s="6"/>
    </row>
    <row r="83" spans="1:22" ht="18" customHeight="1" x14ac:dyDescent="0.3">
      <c r="B83" s="46" t="s">
        <v>525</v>
      </c>
      <c r="C83" s="46" t="s">
        <v>579</v>
      </c>
      <c r="D83" s="32" t="s">
        <v>580</v>
      </c>
      <c r="E83" s="20">
        <v>45113</v>
      </c>
      <c r="F83" s="33" t="s">
        <v>144</v>
      </c>
      <c r="G83" s="6" t="s">
        <v>213</v>
      </c>
      <c r="H83" s="6" t="s">
        <v>24</v>
      </c>
      <c r="I83" s="6"/>
      <c r="J83" s="9" t="s">
        <v>47</v>
      </c>
      <c r="K83" s="9">
        <v>96000</v>
      </c>
      <c r="L83" s="9">
        <f>K83*0.12</f>
        <v>11520</v>
      </c>
      <c r="M83" s="6" t="s">
        <v>26</v>
      </c>
      <c r="N83" s="9"/>
      <c r="O83" s="34"/>
      <c r="P83" s="34">
        <f>L83</f>
        <v>11520</v>
      </c>
      <c r="Q83" s="42" t="s">
        <v>27</v>
      </c>
      <c r="R83" s="42" t="s">
        <v>27</v>
      </c>
      <c r="S83" s="20">
        <v>45132</v>
      </c>
      <c r="T83" s="41">
        <v>1072988</v>
      </c>
      <c r="U83" s="6" t="s">
        <v>144</v>
      </c>
      <c r="V83" s="6"/>
    </row>
    <row r="84" spans="1:22" ht="18" customHeight="1" x14ac:dyDescent="0.3">
      <c r="B84" s="234" t="s">
        <v>528</v>
      </c>
      <c r="C84" s="209" t="s">
        <v>558</v>
      </c>
      <c r="D84" s="220">
        <v>1180601</v>
      </c>
      <c r="E84" s="20">
        <v>45107</v>
      </c>
      <c r="F84" s="33" t="s">
        <v>119</v>
      </c>
      <c r="G84" s="6" t="s">
        <v>581</v>
      </c>
      <c r="H84" s="6" t="s">
        <v>46</v>
      </c>
      <c r="I84" s="6"/>
      <c r="J84" s="9" t="s">
        <v>25</v>
      </c>
      <c r="K84" s="9">
        <v>134280.85</v>
      </c>
      <c r="L84" s="9">
        <f>K84*0.15</f>
        <v>20142.127499999999</v>
      </c>
      <c r="M84" s="9" t="s">
        <v>72</v>
      </c>
      <c r="N84" s="9">
        <f>L84*0.8</f>
        <v>16113.701999999999</v>
      </c>
      <c r="O84" s="42" t="s">
        <v>27</v>
      </c>
      <c r="P84" s="34">
        <f>L84*0.2</f>
        <v>4028.4254999999998</v>
      </c>
      <c r="Q84" s="42" t="s">
        <v>27</v>
      </c>
      <c r="R84" s="42" t="s">
        <v>27</v>
      </c>
      <c r="S84" s="20">
        <v>45125</v>
      </c>
      <c r="T84" s="6" t="s">
        <v>570</v>
      </c>
      <c r="U84" s="6" t="s">
        <v>144</v>
      </c>
      <c r="V84" s="6"/>
    </row>
    <row r="85" spans="1:22" ht="18" customHeight="1" x14ac:dyDescent="0.3">
      <c r="B85" s="207" t="s">
        <v>539</v>
      </c>
      <c r="C85" s="46" t="s">
        <v>540</v>
      </c>
      <c r="D85" s="6"/>
      <c r="E85" s="20"/>
      <c r="F85" s="33" t="s">
        <v>144</v>
      </c>
      <c r="G85" s="6" t="s">
        <v>582</v>
      </c>
      <c r="H85" s="6" t="s">
        <v>24</v>
      </c>
      <c r="I85" s="6"/>
      <c r="J85" s="9" t="s">
        <v>25</v>
      </c>
      <c r="K85" s="9">
        <v>727.96</v>
      </c>
      <c r="L85" s="9">
        <f>K85*0.18</f>
        <v>131.03280000000001</v>
      </c>
      <c r="M85" s="9" t="s">
        <v>26</v>
      </c>
      <c r="N85" s="9">
        <v>0</v>
      </c>
      <c r="O85" s="34"/>
      <c r="P85" s="34">
        <f>L85</f>
        <v>131.03280000000001</v>
      </c>
      <c r="Q85" s="42" t="s">
        <v>27</v>
      </c>
      <c r="R85" s="42" t="s">
        <v>27</v>
      </c>
      <c r="S85" s="6"/>
      <c r="T85" s="6"/>
      <c r="U85" s="6" t="s">
        <v>144</v>
      </c>
      <c r="V85" s="6"/>
    </row>
    <row r="86" spans="1:22" ht="18" customHeight="1" x14ac:dyDescent="0.3">
      <c r="B86" s="46" t="s">
        <v>525</v>
      </c>
      <c r="C86" s="46" t="s">
        <v>583</v>
      </c>
      <c r="D86" t="s">
        <v>584</v>
      </c>
      <c r="E86" s="20">
        <v>45139</v>
      </c>
      <c r="F86" s="33" t="s">
        <v>144</v>
      </c>
      <c r="G86" s="6" t="s">
        <v>57</v>
      </c>
      <c r="H86" s="6" t="s">
        <v>78</v>
      </c>
      <c r="I86" s="6"/>
      <c r="J86" s="9" t="s">
        <v>47</v>
      </c>
      <c r="K86" s="9">
        <v>288738.01</v>
      </c>
      <c r="L86" s="9">
        <f>K86*0.15</f>
        <v>43310.701500000003</v>
      </c>
      <c r="M86" s="9" t="s">
        <v>79</v>
      </c>
      <c r="N86" s="9">
        <f>L86*0.5</f>
        <v>21655.350750000001</v>
      </c>
      <c r="O86" s="174" t="s">
        <v>340</v>
      </c>
      <c r="P86" s="34">
        <f>L86*0.5</f>
        <v>21655.350750000001</v>
      </c>
      <c r="Q86" s="42" t="s">
        <v>27</v>
      </c>
      <c r="R86" s="42" t="s">
        <v>27</v>
      </c>
      <c r="S86" s="20">
        <v>45161</v>
      </c>
      <c r="T86" s="226">
        <v>1086848</v>
      </c>
      <c r="U86" s="6" t="s">
        <v>73</v>
      </c>
      <c r="V86" s="6"/>
    </row>
    <row r="87" spans="1:22" ht="18" customHeight="1" x14ac:dyDescent="0.3">
      <c r="B87" s="46" t="s">
        <v>585</v>
      </c>
      <c r="C87" s="46" t="s">
        <v>586</v>
      </c>
      <c r="D87" s="41">
        <v>1197101</v>
      </c>
      <c r="E87" s="20">
        <v>45124</v>
      </c>
      <c r="F87" s="33" t="s">
        <v>144</v>
      </c>
      <c r="G87" s="6" t="s">
        <v>57</v>
      </c>
      <c r="H87" s="6" t="s">
        <v>118</v>
      </c>
      <c r="I87" s="6" t="s">
        <v>417</v>
      </c>
      <c r="J87" s="9" t="s">
        <v>25</v>
      </c>
      <c r="K87" s="9">
        <v>982842.2</v>
      </c>
      <c r="L87" s="9">
        <f>K87*0.18</f>
        <v>176911.59599999999</v>
      </c>
      <c r="M87" s="6" t="s">
        <v>79</v>
      </c>
      <c r="N87" s="9">
        <f>L87*0.4</f>
        <v>70764.638399999996</v>
      </c>
      <c r="O87" s="232" t="s">
        <v>27</v>
      </c>
      <c r="P87" s="34">
        <f>L87*0.6</f>
        <v>106146.95759999999</v>
      </c>
      <c r="Q87" s="42" t="s">
        <v>27</v>
      </c>
      <c r="R87" s="42" t="s">
        <v>27</v>
      </c>
      <c r="S87" s="20">
        <v>45138</v>
      </c>
      <c r="T87" s="6" t="s">
        <v>587</v>
      </c>
      <c r="U87" s="6" t="s">
        <v>73</v>
      </c>
      <c r="V87" s="6"/>
    </row>
    <row r="88" spans="1:22" ht="18" customHeight="1" x14ac:dyDescent="0.3">
      <c r="B88" s="46" t="s">
        <v>588</v>
      </c>
      <c r="C88" s="46" t="s">
        <v>586</v>
      </c>
      <c r="D88" s="41">
        <v>1197201</v>
      </c>
      <c r="E88" s="20">
        <v>45124</v>
      </c>
      <c r="F88" s="33" t="s">
        <v>144</v>
      </c>
      <c r="G88" s="6" t="s">
        <v>71</v>
      </c>
      <c r="H88" s="6" t="s">
        <v>155</v>
      </c>
      <c r="I88" s="6"/>
      <c r="J88" s="9" t="s">
        <v>25</v>
      </c>
      <c r="K88" s="9">
        <v>238396</v>
      </c>
      <c r="L88" s="9">
        <f>K88*0.15</f>
        <v>35759.4</v>
      </c>
      <c r="M88" s="9" t="s">
        <v>26</v>
      </c>
      <c r="N88" s="9"/>
      <c r="O88" s="34"/>
      <c r="P88" s="34">
        <f>L88</f>
        <v>35759.4</v>
      </c>
      <c r="Q88" s="42" t="s">
        <v>27</v>
      </c>
      <c r="R88" s="42" t="s">
        <v>27</v>
      </c>
      <c r="S88" s="20">
        <v>45138</v>
      </c>
      <c r="T88" s="6" t="s">
        <v>587</v>
      </c>
      <c r="U88" s="6" t="s">
        <v>73</v>
      </c>
      <c r="V88" s="6"/>
    </row>
    <row r="89" spans="1:22" ht="18" customHeight="1" x14ac:dyDescent="0.3">
      <c r="B89" s="6" t="s">
        <v>474</v>
      </c>
      <c r="C89" s="46" t="s">
        <v>550</v>
      </c>
      <c r="D89" s="6" t="s">
        <v>589</v>
      </c>
      <c r="E89" s="20">
        <v>45091</v>
      </c>
      <c r="F89" s="33" t="s">
        <v>119</v>
      </c>
      <c r="G89" s="6" t="s">
        <v>53</v>
      </c>
      <c r="H89" s="6" t="s">
        <v>24</v>
      </c>
      <c r="I89" s="6"/>
      <c r="J89" s="9" t="s">
        <v>47</v>
      </c>
      <c r="K89" s="9">
        <v>45093.32</v>
      </c>
      <c r="L89" s="9">
        <f>K89*0.1</f>
        <v>4509.3320000000003</v>
      </c>
      <c r="M89" s="9" t="s">
        <v>26</v>
      </c>
      <c r="N89" s="9">
        <v>0</v>
      </c>
      <c r="O89" s="9"/>
      <c r="P89" s="34">
        <f>L89</f>
        <v>4509.3320000000003</v>
      </c>
      <c r="Q89" s="42" t="s">
        <v>27</v>
      </c>
      <c r="R89" s="42" t="s">
        <v>27</v>
      </c>
      <c r="S89" s="20">
        <v>45146</v>
      </c>
      <c r="T89" s="41">
        <v>1086848</v>
      </c>
      <c r="U89" s="6" t="s">
        <v>73</v>
      </c>
      <c r="V89" s="6"/>
    </row>
    <row r="90" spans="1:22" ht="18" customHeight="1" x14ac:dyDescent="0.3">
      <c r="B90" s="6" t="s">
        <v>354</v>
      </c>
      <c r="C90" s="46" t="s">
        <v>590</v>
      </c>
      <c r="D90" s="41">
        <v>1210501</v>
      </c>
      <c r="E90" s="20">
        <v>45138</v>
      </c>
      <c r="F90" s="33" t="s">
        <v>591</v>
      </c>
      <c r="G90" s="6" t="s">
        <v>57</v>
      </c>
      <c r="H90" s="6" t="s">
        <v>46</v>
      </c>
      <c r="I90" s="6"/>
      <c r="J90" s="9" t="s">
        <v>25</v>
      </c>
      <c r="K90" s="9">
        <v>126805.37</v>
      </c>
      <c r="L90" s="9">
        <f>K90*0.15</f>
        <v>19020.805499999999</v>
      </c>
      <c r="M90" s="9" t="s">
        <v>72</v>
      </c>
      <c r="N90" s="9">
        <f>L90*0.8</f>
        <v>15216.644399999999</v>
      </c>
      <c r="O90" s="42" t="s">
        <v>27</v>
      </c>
      <c r="P90" s="34">
        <f>L90*0.2</f>
        <v>3804.1610999999998</v>
      </c>
      <c r="Q90" s="42" t="s">
        <v>27</v>
      </c>
      <c r="R90" s="42" t="s">
        <v>27</v>
      </c>
      <c r="S90" s="227">
        <v>45167</v>
      </c>
      <c r="T90" t="s">
        <v>592</v>
      </c>
      <c r="U90" s="6" t="s">
        <v>73</v>
      </c>
      <c r="V90" s="6"/>
    </row>
    <row r="91" spans="1:22" ht="18" customHeight="1" x14ac:dyDescent="0.3">
      <c r="B91" s="6" t="s">
        <v>593</v>
      </c>
      <c r="C91" s="46" t="s">
        <v>594</v>
      </c>
      <c r="D91" s="41">
        <v>14494</v>
      </c>
      <c r="E91" s="20">
        <v>45044</v>
      </c>
      <c r="F91" s="33" t="s">
        <v>99</v>
      </c>
      <c r="G91" s="6" t="s">
        <v>595</v>
      </c>
      <c r="H91" s="6" t="s">
        <v>24</v>
      </c>
      <c r="I91" s="6"/>
      <c r="J91" s="9" t="s">
        <v>596</v>
      </c>
      <c r="K91" s="9">
        <v>2500</v>
      </c>
      <c r="L91" s="9">
        <f>K91*0.2</f>
        <v>500</v>
      </c>
      <c r="M91" s="9" t="s">
        <v>26</v>
      </c>
      <c r="N91" s="9">
        <v>0</v>
      </c>
      <c r="O91" s="34"/>
      <c r="P91" s="34">
        <f>L91</f>
        <v>500</v>
      </c>
      <c r="Q91" s="42" t="s">
        <v>27</v>
      </c>
      <c r="R91" s="42" t="s">
        <v>27</v>
      </c>
      <c r="S91" s="6"/>
      <c r="T91" s="6"/>
      <c r="U91" s="6" t="s">
        <v>73</v>
      </c>
      <c r="V91" s="6"/>
    </row>
    <row r="92" spans="1:22" ht="18" customHeight="1" x14ac:dyDescent="0.3">
      <c r="B92" s="46" t="s">
        <v>564</v>
      </c>
      <c r="C92" s="46" t="s">
        <v>597</v>
      </c>
      <c r="D92" s="41">
        <v>14535</v>
      </c>
      <c r="E92" s="20">
        <v>45127</v>
      </c>
      <c r="F92" s="33" t="s">
        <v>144</v>
      </c>
      <c r="G92" s="6" t="s">
        <v>598</v>
      </c>
      <c r="H92" s="6" t="s">
        <v>24</v>
      </c>
      <c r="I92" s="6"/>
      <c r="J92" s="9" t="s">
        <v>596</v>
      </c>
      <c r="K92" s="9">
        <v>27936.52</v>
      </c>
      <c r="L92" s="9">
        <f>K92*0.16372</f>
        <v>4573.7670544000002</v>
      </c>
      <c r="M92" s="9" t="s">
        <v>26</v>
      </c>
      <c r="N92" s="9">
        <v>0</v>
      </c>
      <c r="O92" s="34"/>
      <c r="P92" s="34">
        <f>L92</f>
        <v>4573.7670544000002</v>
      </c>
      <c r="Q92" s="42" t="s">
        <v>27</v>
      </c>
      <c r="R92" s="42" t="s">
        <v>27</v>
      </c>
      <c r="S92" s="6"/>
      <c r="T92" s="6"/>
      <c r="U92" s="6" t="s">
        <v>73</v>
      </c>
      <c r="V92" s="6"/>
    </row>
    <row r="93" spans="1:22" ht="18" customHeight="1" x14ac:dyDescent="0.3">
      <c r="B93" s="46" t="s">
        <v>564</v>
      </c>
      <c r="C93" s="46" t="s">
        <v>599</v>
      </c>
      <c r="D93" s="6"/>
      <c r="E93" s="20"/>
      <c r="F93" s="33"/>
      <c r="G93" s="6" t="s">
        <v>600</v>
      </c>
      <c r="H93" s="6" t="s">
        <v>24</v>
      </c>
      <c r="I93" s="6"/>
      <c r="J93" s="9" t="s">
        <v>596</v>
      </c>
      <c r="K93" s="9">
        <v>12764.8</v>
      </c>
      <c r="L93" s="34">
        <f>K93*0.15</f>
        <v>1914.7199999999998</v>
      </c>
      <c r="M93" s="9" t="s">
        <v>26</v>
      </c>
      <c r="N93" s="9">
        <v>0</v>
      </c>
      <c r="O93" s="34"/>
      <c r="P93" s="34">
        <f>L93</f>
        <v>1914.7199999999998</v>
      </c>
      <c r="Q93" s="42" t="s">
        <v>27</v>
      </c>
      <c r="R93" s="42" t="s">
        <v>27</v>
      </c>
      <c r="S93" s="6"/>
      <c r="T93" s="6"/>
      <c r="U93" s="6" t="s">
        <v>170</v>
      </c>
      <c r="V93" s="6"/>
    </row>
    <row r="94" spans="1:22" ht="15.75" customHeight="1" x14ac:dyDescent="0.3">
      <c r="A94" t="s">
        <v>601</v>
      </c>
      <c r="B94" s="6" t="s">
        <v>601</v>
      </c>
      <c r="C94" s="46" t="s">
        <v>602</v>
      </c>
      <c r="D94" s="6" t="s">
        <v>1522</v>
      </c>
      <c r="E94" s="6" t="s">
        <v>603</v>
      </c>
      <c r="F94" s="6" t="s">
        <v>223</v>
      </c>
      <c r="G94" s="6" t="s">
        <v>57</v>
      </c>
      <c r="H94" s="6" t="s">
        <v>78</v>
      </c>
      <c r="I94" s="6"/>
      <c r="J94" s="9" t="s">
        <v>47</v>
      </c>
      <c r="K94" s="9">
        <v>1837550.49</v>
      </c>
      <c r="L94" s="9">
        <f>K94*0.15</f>
        <v>275632.5735</v>
      </c>
      <c r="M94" s="9" t="s">
        <v>79</v>
      </c>
      <c r="N94" s="9">
        <f>L94*0.5</f>
        <v>137816.28675</v>
      </c>
      <c r="O94" s="174" t="s">
        <v>340</v>
      </c>
      <c r="P94" s="34">
        <f>L94*0.5</f>
        <v>137816.28675</v>
      </c>
      <c r="Q94" s="42" t="s">
        <v>27</v>
      </c>
      <c r="R94" s="42" t="s">
        <v>27</v>
      </c>
      <c r="S94" s="6"/>
      <c r="T94" s="6"/>
      <c r="U94" s="6" t="s">
        <v>170</v>
      </c>
      <c r="V94" s="6"/>
    </row>
    <row r="95" spans="1:22" ht="15" customHeight="1" x14ac:dyDescent="0.3">
      <c r="A95" t="s">
        <v>601</v>
      </c>
      <c r="B95" s="6" t="s">
        <v>601</v>
      </c>
      <c r="C95" s="46" t="s">
        <v>602</v>
      </c>
      <c r="D95" s="6"/>
      <c r="E95" s="6" t="s">
        <v>603</v>
      </c>
      <c r="F95" s="6"/>
      <c r="G95" s="6" t="s">
        <v>213</v>
      </c>
      <c r="H95" s="6" t="s">
        <v>78</v>
      </c>
      <c r="I95" s="6"/>
      <c r="J95" s="9" t="s">
        <v>47</v>
      </c>
      <c r="K95" s="9">
        <v>321000</v>
      </c>
      <c r="L95" s="9">
        <f>K95*0.12</f>
        <v>38520</v>
      </c>
      <c r="M95" s="9" t="s">
        <v>72</v>
      </c>
      <c r="N95" s="9">
        <f>L95*0.2</f>
        <v>7704</v>
      </c>
      <c r="O95" s="42" t="s">
        <v>27</v>
      </c>
      <c r="P95" s="34">
        <f>L95*0.8</f>
        <v>30816</v>
      </c>
      <c r="Q95" s="42" t="s">
        <v>27</v>
      </c>
      <c r="R95" s="42" t="s">
        <v>27</v>
      </c>
      <c r="S95" s="6"/>
      <c r="T95" s="6"/>
      <c r="U95" s="6" t="s">
        <v>170</v>
      </c>
      <c r="V95" s="6"/>
    </row>
    <row r="96" spans="1:22" ht="18" customHeight="1" x14ac:dyDescent="0.3">
      <c r="A96" t="s">
        <v>604</v>
      </c>
      <c r="B96" s="6" t="s">
        <v>604</v>
      </c>
      <c r="C96" s="46" t="s">
        <v>605</v>
      </c>
      <c r="D96" s="41">
        <v>1221801</v>
      </c>
      <c r="E96" s="20">
        <v>45146</v>
      </c>
      <c r="F96" s="33" t="s">
        <v>144</v>
      </c>
      <c r="G96" s="6" t="s">
        <v>71</v>
      </c>
      <c r="H96" s="6" t="s">
        <v>155</v>
      </c>
      <c r="I96" s="6"/>
      <c r="J96" s="9" t="s">
        <v>25</v>
      </c>
      <c r="K96" s="9">
        <v>231002.55</v>
      </c>
      <c r="L96" s="9">
        <f>K96*0.15</f>
        <v>34650.3825</v>
      </c>
      <c r="M96" s="9" t="s">
        <v>26</v>
      </c>
      <c r="N96" s="9"/>
      <c r="O96" s="34"/>
      <c r="P96" s="34">
        <f>L96</f>
        <v>34650.3825</v>
      </c>
      <c r="Q96" s="42" t="s">
        <v>27</v>
      </c>
      <c r="R96" s="42" t="s">
        <v>27</v>
      </c>
      <c r="S96" s="20">
        <v>45181</v>
      </c>
      <c r="T96" s="6" t="s">
        <v>606</v>
      </c>
      <c r="U96" s="6" t="s">
        <v>170</v>
      </c>
      <c r="V96" s="6"/>
    </row>
    <row r="97" spans="2:22" ht="18" customHeight="1" x14ac:dyDescent="0.3">
      <c r="B97" s="6" t="s">
        <v>399</v>
      </c>
      <c r="C97" s="46" t="s">
        <v>486</v>
      </c>
      <c r="D97" s="41">
        <v>1257501</v>
      </c>
      <c r="E97" s="20">
        <v>45173</v>
      </c>
      <c r="F97" s="33" t="s">
        <v>209</v>
      </c>
      <c r="G97" s="6" t="s">
        <v>71</v>
      </c>
      <c r="H97" s="6" t="s">
        <v>155</v>
      </c>
      <c r="I97" s="6"/>
      <c r="J97" s="9" t="s">
        <v>25</v>
      </c>
      <c r="K97" s="9">
        <v>244623.72</v>
      </c>
      <c r="L97" s="9">
        <f>K97*0.18</f>
        <v>44032.2696</v>
      </c>
      <c r="M97" s="9" t="s">
        <v>26</v>
      </c>
      <c r="N97" s="9"/>
      <c r="O97" s="34"/>
      <c r="P97" s="34">
        <f>L97</f>
        <v>44032.2696</v>
      </c>
      <c r="Q97" s="42" t="s">
        <v>27</v>
      </c>
      <c r="R97" s="42" t="s">
        <v>27</v>
      </c>
      <c r="S97" s="20">
        <v>45181</v>
      </c>
      <c r="T97" s="6" t="s">
        <v>606</v>
      </c>
      <c r="U97" s="6" t="s">
        <v>170</v>
      </c>
      <c r="V97" s="6"/>
    </row>
    <row r="98" spans="2:22" ht="18" customHeight="1" x14ac:dyDescent="0.3">
      <c r="B98" s="6" t="s">
        <v>607</v>
      </c>
      <c r="C98" s="46" t="s">
        <v>608</v>
      </c>
      <c r="D98" s="41" t="s">
        <v>1523</v>
      </c>
      <c r="F98" s="6" t="s">
        <v>223</v>
      </c>
      <c r="G98" s="6" t="s">
        <v>57</v>
      </c>
      <c r="H98" s="6" t="s">
        <v>78</v>
      </c>
      <c r="I98" s="6"/>
      <c r="J98" s="9" t="s">
        <v>47</v>
      </c>
      <c r="K98" s="9">
        <v>1015725.25</v>
      </c>
      <c r="L98" s="9">
        <f>K98*0.15</f>
        <v>152358.78750000001</v>
      </c>
      <c r="M98" s="6" t="s">
        <v>79</v>
      </c>
      <c r="N98" s="9">
        <f>L98*0.5</f>
        <v>76179.393750000003</v>
      </c>
      <c r="O98" s="174" t="s">
        <v>340</v>
      </c>
      <c r="P98" s="34">
        <f>L98*0.5</f>
        <v>76179.393750000003</v>
      </c>
      <c r="Q98" s="42" t="s">
        <v>27</v>
      </c>
      <c r="R98" s="42" t="s">
        <v>27</v>
      </c>
      <c r="S98" s="6"/>
      <c r="T98" s="6"/>
      <c r="U98" s="6" t="s">
        <v>170</v>
      </c>
      <c r="V98" s="6"/>
    </row>
    <row r="99" spans="2:22" ht="18" customHeight="1" x14ac:dyDescent="0.3">
      <c r="B99" s="6" t="s">
        <v>607</v>
      </c>
      <c r="C99" s="46" t="s">
        <v>608</v>
      </c>
      <c r="D99" s="6"/>
      <c r="F99" s="6"/>
      <c r="G99" s="6" t="s">
        <v>213</v>
      </c>
      <c r="H99" s="6" t="s">
        <v>78</v>
      </c>
      <c r="I99" s="6"/>
      <c r="J99" s="9" t="s">
        <v>47</v>
      </c>
      <c r="K99" s="9">
        <v>361000</v>
      </c>
      <c r="L99" s="9">
        <f>K99*0.12</f>
        <v>43320</v>
      </c>
      <c r="M99" s="9" t="s">
        <v>72</v>
      </c>
      <c r="N99" s="9">
        <f>L99*0.2</f>
        <v>8664</v>
      </c>
      <c r="O99" s="42" t="s">
        <v>27</v>
      </c>
      <c r="P99" s="34">
        <f>L99*0.8</f>
        <v>34656</v>
      </c>
      <c r="Q99" s="42" t="s">
        <v>27</v>
      </c>
      <c r="R99" s="42" t="s">
        <v>27</v>
      </c>
      <c r="S99" s="6"/>
      <c r="T99" s="6"/>
      <c r="U99" s="6" t="s">
        <v>170</v>
      </c>
      <c r="V99" s="6"/>
    </row>
    <row r="100" spans="2:22" ht="18" customHeight="1" x14ac:dyDescent="0.3">
      <c r="B100" s="46" t="s">
        <v>249</v>
      </c>
      <c r="C100" s="46" t="s">
        <v>609</v>
      </c>
      <c r="D100" s="6"/>
      <c r="E100" s="20" t="s">
        <v>217</v>
      </c>
      <c r="F100" s="6"/>
      <c r="G100" s="6" t="s">
        <v>610</v>
      </c>
      <c r="H100" s="6" t="s">
        <v>24</v>
      </c>
      <c r="I100" s="6"/>
      <c r="J100" s="9" t="s">
        <v>25</v>
      </c>
      <c r="K100" s="9">
        <v>21341.67</v>
      </c>
      <c r="L100" s="9">
        <f>K100*0.15</f>
        <v>3201.2504999999996</v>
      </c>
      <c r="M100" s="6" t="s">
        <v>26</v>
      </c>
      <c r="N100" s="9">
        <v>0</v>
      </c>
      <c r="O100" s="9"/>
      <c r="P100" s="34">
        <f>L100</f>
        <v>3201.2504999999996</v>
      </c>
      <c r="Q100" s="42" t="s">
        <v>27</v>
      </c>
      <c r="R100" s="42" t="s">
        <v>27</v>
      </c>
      <c r="S100" s="6"/>
      <c r="T100" s="6"/>
      <c r="U100" s="6" t="s">
        <v>209</v>
      </c>
      <c r="V100" s="6"/>
    </row>
    <row r="101" spans="2:22" ht="18" customHeight="1" x14ac:dyDescent="0.3">
      <c r="B101" s="6" t="s">
        <v>504</v>
      </c>
      <c r="C101" s="46" t="s">
        <v>611</v>
      </c>
      <c r="D101" s="41">
        <v>1225201</v>
      </c>
      <c r="E101" s="20">
        <v>45149</v>
      </c>
      <c r="F101" s="33" t="s">
        <v>73</v>
      </c>
      <c r="G101" s="6" t="s">
        <v>57</v>
      </c>
      <c r="H101" s="6" t="s">
        <v>118</v>
      </c>
      <c r="I101" s="6" t="s">
        <v>417</v>
      </c>
      <c r="J101" s="9" t="s">
        <v>25</v>
      </c>
      <c r="K101" s="9">
        <v>1142945.17</v>
      </c>
      <c r="L101" s="9">
        <f>K101*0.15</f>
        <v>171441.77549999999</v>
      </c>
      <c r="M101" s="9" t="s">
        <v>79</v>
      </c>
      <c r="N101" s="9">
        <f>L101*0.5</f>
        <v>85720.887749999994</v>
      </c>
      <c r="O101" s="232" t="s">
        <v>27</v>
      </c>
      <c r="P101" s="34">
        <f>L101*0.5</f>
        <v>85720.887749999994</v>
      </c>
      <c r="Q101" s="42" t="s">
        <v>27</v>
      </c>
      <c r="R101" s="42" t="s">
        <v>27</v>
      </c>
      <c r="S101" s="20">
        <v>45181</v>
      </c>
      <c r="T101" s="6" t="s">
        <v>606</v>
      </c>
      <c r="U101" s="6" t="s">
        <v>209</v>
      </c>
      <c r="V101" s="6"/>
    </row>
    <row r="102" spans="2:22" ht="18" customHeight="1" x14ac:dyDescent="0.3">
      <c r="B102" s="6" t="s">
        <v>504</v>
      </c>
      <c r="C102" s="46" t="s">
        <v>612</v>
      </c>
      <c r="D102" s="41">
        <v>1236601</v>
      </c>
      <c r="E102" s="20">
        <v>45159</v>
      </c>
      <c r="F102" s="6" t="s">
        <v>73</v>
      </c>
      <c r="G102" s="6" t="s">
        <v>57</v>
      </c>
      <c r="H102" s="6" t="s">
        <v>118</v>
      </c>
      <c r="I102" s="6" t="s">
        <v>417</v>
      </c>
      <c r="J102" s="9" t="s">
        <v>25</v>
      </c>
      <c r="K102" s="9">
        <v>546431.22</v>
      </c>
      <c r="L102" s="9">
        <f>K102*0.18</f>
        <v>98357.619599999991</v>
      </c>
      <c r="M102" s="9" t="s">
        <v>79</v>
      </c>
      <c r="N102" s="9">
        <f>L102*0.5</f>
        <v>49178.809799999995</v>
      </c>
      <c r="O102" s="232" t="s">
        <v>27</v>
      </c>
      <c r="P102" s="34">
        <f>L102*0.5</f>
        <v>49178.809799999995</v>
      </c>
      <c r="Q102" s="42" t="s">
        <v>27</v>
      </c>
      <c r="R102" s="42" t="s">
        <v>27</v>
      </c>
      <c r="S102" s="20">
        <v>45181</v>
      </c>
      <c r="T102" s="6" t="s">
        <v>606</v>
      </c>
      <c r="U102" s="6" t="s">
        <v>209</v>
      </c>
      <c r="V102" s="6"/>
    </row>
    <row r="103" spans="2:22" ht="18" customHeight="1" x14ac:dyDescent="0.3">
      <c r="B103" s="46" t="s">
        <v>613</v>
      </c>
      <c r="C103" s="46" t="s">
        <v>614</v>
      </c>
      <c r="D103" s="6" t="s">
        <v>615</v>
      </c>
      <c r="E103" s="20">
        <v>45180</v>
      </c>
      <c r="F103" s="6" t="s">
        <v>170</v>
      </c>
      <c r="G103" s="6" t="s">
        <v>57</v>
      </c>
      <c r="H103" s="6" t="s">
        <v>616</v>
      </c>
      <c r="I103" s="6"/>
      <c r="J103" s="9" t="s">
        <v>47</v>
      </c>
      <c r="K103" s="9">
        <v>370024.91</v>
      </c>
      <c r="L103" s="9">
        <f>K103*0.1443529</f>
        <v>53414.168830739</v>
      </c>
      <c r="M103" s="9" t="s">
        <v>68</v>
      </c>
      <c r="N103" s="9">
        <f>L103*0.4</f>
        <v>21365.6675322956</v>
      </c>
      <c r="O103" s="174" t="s">
        <v>340</v>
      </c>
      <c r="P103" s="34">
        <f>L103*0.6</f>
        <v>32048.5012984434</v>
      </c>
      <c r="Q103" s="42" t="s">
        <v>27</v>
      </c>
      <c r="R103" s="42" t="s">
        <v>27</v>
      </c>
      <c r="S103" s="20">
        <v>45195</v>
      </c>
      <c r="T103" s="41">
        <v>1102071</v>
      </c>
      <c r="U103" s="6" t="s">
        <v>209</v>
      </c>
      <c r="V103" s="6"/>
    </row>
    <row r="104" spans="2:22" ht="18" customHeight="1" x14ac:dyDescent="0.3">
      <c r="B104" s="46" t="s">
        <v>613</v>
      </c>
      <c r="C104" s="46" t="s">
        <v>614</v>
      </c>
      <c r="D104" s="6" t="s">
        <v>617</v>
      </c>
      <c r="E104" s="20">
        <v>45180</v>
      </c>
      <c r="F104" s="6" t="s">
        <v>170</v>
      </c>
      <c r="G104" s="6" t="s">
        <v>281</v>
      </c>
      <c r="H104" s="6" t="s">
        <v>616</v>
      </c>
      <c r="I104" s="6"/>
      <c r="J104" s="9" t="s">
        <v>47</v>
      </c>
      <c r="K104" s="9">
        <v>371000</v>
      </c>
      <c r="L104" s="9">
        <f>K104*0.12</f>
        <v>44520</v>
      </c>
      <c r="M104" s="9" t="s">
        <v>72</v>
      </c>
      <c r="N104" s="9">
        <f>L104*0.2</f>
        <v>8904</v>
      </c>
      <c r="O104" s="42" t="s">
        <v>27</v>
      </c>
      <c r="P104" s="34">
        <f>L104*0.8</f>
        <v>35616</v>
      </c>
      <c r="Q104" s="42" t="s">
        <v>27</v>
      </c>
      <c r="R104" s="42" t="s">
        <v>27</v>
      </c>
      <c r="S104" s="20">
        <v>45188</v>
      </c>
      <c r="T104" s="41">
        <v>1102071</v>
      </c>
      <c r="U104" s="6" t="s">
        <v>209</v>
      </c>
      <c r="V104" s="6"/>
    </row>
    <row r="105" spans="2:22" ht="18" customHeight="1" x14ac:dyDescent="0.3">
      <c r="B105" s="6" t="s">
        <v>618</v>
      </c>
      <c r="C105" s="46" t="s">
        <v>619</v>
      </c>
      <c r="D105" s="6" t="s">
        <v>620</v>
      </c>
      <c r="E105" s="20">
        <v>45121</v>
      </c>
      <c r="F105" s="33" t="s">
        <v>144</v>
      </c>
      <c r="G105" s="6" t="s">
        <v>581</v>
      </c>
      <c r="H105" s="6" t="s">
        <v>46</v>
      </c>
      <c r="I105" s="6"/>
      <c r="J105" s="9" t="s">
        <v>315</v>
      </c>
      <c r="K105" s="9">
        <v>455696.2</v>
      </c>
      <c r="L105" s="9">
        <f>K105*0.03</f>
        <v>13670.886</v>
      </c>
      <c r="M105" s="9" t="s">
        <v>26</v>
      </c>
      <c r="N105" s="9">
        <v>0</v>
      </c>
      <c r="O105" s="9"/>
      <c r="P105" s="34">
        <f>L105</f>
        <v>13670.886</v>
      </c>
      <c r="Q105" s="42" t="s">
        <v>27</v>
      </c>
      <c r="R105" s="42" t="s">
        <v>27</v>
      </c>
      <c r="S105" s="6"/>
      <c r="T105" s="6"/>
      <c r="U105" s="6" t="s">
        <v>209</v>
      </c>
      <c r="V105" s="6"/>
    </row>
    <row r="106" spans="2:22" ht="18" customHeight="1" x14ac:dyDescent="0.3">
      <c r="B106" s="235" t="s">
        <v>621</v>
      </c>
      <c r="C106" s="46" t="s">
        <v>622</v>
      </c>
      <c r="D106" s="6"/>
      <c r="E106" s="20"/>
      <c r="F106" s="6" t="s">
        <v>144</v>
      </c>
      <c r="G106" s="6" t="s">
        <v>57</v>
      </c>
      <c r="H106" s="6" t="s">
        <v>24</v>
      </c>
      <c r="I106" s="6"/>
      <c r="J106" s="9" t="s">
        <v>25</v>
      </c>
      <c r="K106" s="9">
        <v>1865577.18</v>
      </c>
      <c r="L106" s="9">
        <f>K106*0.18</f>
        <v>335803.89239999995</v>
      </c>
      <c r="M106" s="9" t="s">
        <v>72</v>
      </c>
      <c r="N106" s="9">
        <f>L106*0.33</f>
        <v>110815.28449199999</v>
      </c>
      <c r="O106" s="42" t="s">
        <v>27</v>
      </c>
      <c r="P106" s="34">
        <f>L106*0.67</f>
        <v>224988.60790799998</v>
      </c>
      <c r="Q106" s="42" t="s">
        <v>27</v>
      </c>
      <c r="R106" s="42" t="s">
        <v>27</v>
      </c>
      <c r="S106" s="6"/>
      <c r="T106" s="6"/>
      <c r="U106" s="6" t="s">
        <v>209</v>
      </c>
      <c r="V106" s="6"/>
    </row>
    <row r="107" spans="2:22" ht="18" customHeight="1" x14ac:dyDescent="0.3">
      <c r="B107" s="6" t="s">
        <v>623</v>
      </c>
      <c r="C107" s="46" t="s">
        <v>624</v>
      </c>
      <c r="D107" s="6" t="s">
        <v>625</v>
      </c>
      <c r="E107" s="20">
        <v>45121</v>
      </c>
      <c r="F107" s="6" t="s">
        <v>144</v>
      </c>
      <c r="G107" s="6" t="s">
        <v>626</v>
      </c>
      <c r="H107" s="6" t="s">
        <v>46</v>
      </c>
      <c r="I107" s="6"/>
      <c r="J107" s="9" t="s">
        <v>315</v>
      </c>
      <c r="K107" s="9">
        <v>205894.21</v>
      </c>
      <c r="L107" s="9">
        <f>K107*0.03</f>
        <v>6176.8262999999997</v>
      </c>
      <c r="M107" s="9" t="s">
        <v>26</v>
      </c>
      <c r="N107" s="9">
        <v>0</v>
      </c>
      <c r="O107" s="9"/>
      <c r="P107" s="34">
        <f>L107</f>
        <v>6176.8262999999997</v>
      </c>
      <c r="Q107" s="42" t="s">
        <v>27</v>
      </c>
      <c r="R107" s="42" t="s">
        <v>27</v>
      </c>
      <c r="S107" s="6"/>
      <c r="T107" s="6"/>
      <c r="U107" s="6" t="s">
        <v>209</v>
      </c>
      <c r="V107" s="6"/>
    </row>
    <row r="108" spans="2:22" ht="18" customHeight="1" x14ac:dyDescent="0.3">
      <c r="B108" s="6" t="s">
        <v>504</v>
      </c>
      <c r="C108" s="46" t="s">
        <v>627</v>
      </c>
      <c r="D108" s="6"/>
      <c r="E108" s="20"/>
      <c r="F108" s="6" t="s">
        <v>1783</v>
      </c>
      <c r="G108" s="6" t="s">
        <v>57</v>
      </c>
      <c r="H108" s="6" t="s">
        <v>118</v>
      </c>
      <c r="I108" s="6" t="s">
        <v>417</v>
      </c>
      <c r="J108" s="9" t="s">
        <v>25</v>
      </c>
      <c r="K108" s="9">
        <v>509508.46</v>
      </c>
      <c r="L108" s="9">
        <f>K108*0.2473</f>
        <v>126001.44215800001</v>
      </c>
      <c r="M108" s="9" t="s">
        <v>79</v>
      </c>
      <c r="N108" s="9">
        <f>L108*0.5</f>
        <v>63000.721079000003</v>
      </c>
      <c r="O108" s="232" t="s">
        <v>27</v>
      </c>
      <c r="P108" s="34">
        <f>L108*0.5</f>
        <v>63000.721079000003</v>
      </c>
      <c r="Q108" s="42" t="s">
        <v>27</v>
      </c>
      <c r="R108" s="42" t="s">
        <v>27</v>
      </c>
      <c r="S108" s="6"/>
      <c r="T108" s="6"/>
      <c r="U108" s="6" t="s">
        <v>209</v>
      </c>
      <c r="V108" s="6"/>
    </row>
    <row r="109" spans="2:22" ht="15.6" customHeight="1" x14ac:dyDescent="0.3">
      <c r="B109" s="6" t="s">
        <v>515</v>
      </c>
      <c r="C109" s="46" t="s">
        <v>628</v>
      </c>
      <c r="D109" s="41" t="s">
        <v>1524</v>
      </c>
      <c r="E109" s="20"/>
      <c r="F109" s="6" t="s">
        <v>170</v>
      </c>
      <c r="G109" s="6" t="s">
        <v>629</v>
      </c>
      <c r="H109" s="6" t="s">
        <v>78</v>
      </c>
      <c r="I109" s="6"/>
      <c r="J109" s="9" t="s">
        <v>47</v>
      </c>
      <c r="K109" s="9">
        <v>1059471.2</v>
      </c>
      <c r="L109" s="9">
        <f>K109*0.15</f>
        <v>158920.68</v>
      </c>
      <c r="M109" s="9" t="s">
        <v>79</v>
      </c>
      <c r="N109" s="9">
        <f>L109*0.5</f>
        <v>79460.34</v>
      </c>
      <c r="O109" s="174" t="s">
        <v>340</v>
      </c>
      <c r="P109" s="34">
        <f>L109*0.5</f>
        <v>79460.34</v>
      </c>
      <c r="Q109" s="42" t="s">
        <v>27</v>
      </c>
      <c r="R109" s="42" t="s">
        <v>27</v>
      </c>
      <c r="S109" s="6"/>
      <c r="T109" s="6"/>
      <c r="U109" s="6" t="s">
        <v>209</v>
      </c>
      <c r="V109" s="6"/>
    </row>
    <row r="110" spans="2:22" ht="18" customHeight="1" x14ac:dyDescent="0.3">
      <c r="B110" s="6" t="s">
        <v>515</v>
      </c>
      <c r="C110" s="46" t="s">
        <v>628</v>
      </c>
      <c r="D110" s="253" t="s">
        <v>1525</v>
      </c>
      <c r="E110" s="20"/>
      <c r="F110" s="6"/>
      <c r="G110" s="6" t="s">
        <v>213</v>
      </c>
      <c r="H110" s="6" t="s">
        <v>78</v>
      </c>
      <c r="I110" s="6"/>
      <c r="J110" s="9" t="s">
        <v>47</v>
      </c>
      <c r="K110" s="9">
        <v>381000</v>
      </c>
      <c r="L110" s="9">
        <f>K110*0.12</f>
        <v>45720</v>
      </c>
      <c r="M110" s="9" t="s">
        <v>72</v>
      </c>
      <c r="N110" s="9">
        <f>L110*0.2</f>
        <v>9144</v>
      </c>
      <c r="O110" s="42" t="s">
        <v>27</v>
      </c>
      <c r="P110" s="34">
        <f>L110*0.8</f>
        <v>36576</v>
      </c>
      <c r="Q110" s="42" t="s">
        <v>27</v>
      </c>
      <c r="R110" s="42" t="s">
        <v>27</v>
      </c>
      <c r="S110" s="6"/>
      <c r="T110" s="6"/>
      <c r="U110" s="6" t="s">
        <v>209</v>
      </c>
      <c r="V110" s="6"/>
    </row>
    <row r="111" spans="2:22" ht="18" customHeight="1" x14ac:dyDescent="0.3">
      <c r="B111" s="6" t="s">
        <v>515</v>
      </c>
      <c r="C111" s="46" t="s">
        <v>628</v>
      </c>
      <c r="D111" s="41" t="s">
        <v>1525</v>
      </c>
      <c r="E111" s="20"/>
      <c r="F111" s="6" t="s">
        <v>170</v>
      </c>
      <c r="G111" s="6" t="s">
        <v>630</v>
      </c>
      <c r="H111" s="6" t="s">
        <v>78</v>
      </c>
      <c r="I111" s="6"/>
      <c r="J111" s="9" t="s">
        <v>47</v>
      </c>
      <c r="K111" s="9">
        <v>912370</v>
      </c>
      <c r="L111" s="9">
        <f>K111*0.15</f>
        <v>136855.5</v>
      </c>
      <c r="M111" s="9" t="s">
        <v>79</v>
      </c>
      <c r="N111" s="9">
        <f>L111*0.5</f>
        <v>68427.75</v>
      </c>
      <c r="O111" s="174" t="s">
        <v>340</v>
      </c>
      <c r="P111" s="34">
        <f>L111*0.5</f>
        <v>68427.75</v>
      </c>
      <c r="Q111" s="42" t="s">
        <v>27</v>
      </c>
      <c r="R111" s="42" t="s">
        <v>27</v>
      </c>
      <c r="S111" s="6"/>
      <c r="T111" s="6"/>
      <c r="U111" s="6" t="s">
        <v>209</v>
      </c>
      <c r="V111" s="6"/>
    </row>
    <row r="112" spans="2:22" ht="18" customHeight="1" x14ac:dyDescent="0.3">
      <c r="B112" s="6" t="s">
        <v>414</v>
      </c>
      <c r="C112" s="46" t="s">
        <v>631</v>
      </c>
      <c r="D112" s="6"/>
      <c r="E112" s="20"/>
      <c r="F112" s="6"/>
      <c r="G112" s="6" t="s">
        <v>57</v>
      </c>
      <c r="H112" s="6" t="s">
        <v>24</v>
      </c>
      <c r="I112" s="6"/>
      <c r="J112" s="9" t="s">
        <v>25</v>
      </c>
      <c r="K112" s="9">
        <v>1052768.32</v>
      </c>
      <c r="L112" s="9">
        <f>K112*0.18</f>
        <v>189498.29759999999</v>
      </c>
      <c r="M112" s="9" t="s">
        <v>26</v>
      </c>
      <c r="N112" s="9"/>
      <c r="O112" s="34"/>
      <c r="P112" s="34">
        <f>L112</f>
        <v>189498.29759999999</v>
      </c>
      <c r="Q112" s="42" t="s">
        <v>27</v>
      </c>
      <c r="R112" s="42" t="s">
        <v>27</v>
      </c>
      <c r="S112" s="6"/>
      <c r="T112" s="6"/>
      <c r="U112" s="6" t="s">
        <v>209</v>
      </c>
      <c r="V112" s="6"/>
    </row>
    <row r="113" spans="2:22" ht="18" customHeight="1" x14ac:dyDescent="0.3">
      <c r="B113" s="235" t="s">
        <v>632</v>
      </c>
      <c r="C113" s="46" t="s">
        <v>633</v>
      </c>
      <c r="D113" s="6" t="s">
        <v>1526</v>
      </c>
      <c r="E113" s="20"/>
      <c r="F113" s="6" t="s">
        <v>217</v>
      </c>
      <c r="G113" s="6" t="s">
        <v>57</v>
      </c>
      <c r="H113" s="6" t="s">
        <v>78</v>
      </c>
      <c r="I113" s="6"/>
      <c r="J113" s="9" t="s">
        <v>47</v>
      </c>
      <c r="K113" s="9">
        <v>1067101.78</v>
      </c>
      <c r="L113" s="9">
        <f>K113*0.15</f>
        <v>160065.26699999999</v>
      </c>
      <c r="M113" s="9" t="s">
        <v>79</v>
      </c>
      <c r="N113" s="9">
        <f>L113*0.5</f>
        <v>80032.633499999996</v>
      </c>
      <c r="O113" s="174" t="s">
        <v>340</v>
      </c>
      <c r="P113" s="34">
        <f>L113*0.5</f>
        <v>80032.633499999996</v>
      </c>
      <c r="Q113" s="42" t="s">
        <v>27</v>
      </c>
      <c r="R113" s="42" t="s">
        <v>27</v>
      </c>
      <c r="S113" s="6"/>
      <c r="T113" s="6"/>
      <c r="U113" s="6" t="s">
        <v>209</v>
      </c>
      <c r="V113" s="6"/>
    </row>
    <row r="114" spans="2:22" ht="18" customHeight="1" x14ac:dyDescent="0.3">
      <c r="B114" s="235" t="s">
        <v>632</v>
      </c>
      <c r="C114" s="46" t="s">
        <v>633</v>
      </c>
      <c r="D114" s="6"/>
      <c r="E114" s="20"/>
      <c r="F114" s="6"/>
      <c r="G114" s="6" t="s">
        <v>281</v>
      </c>
      <c r="H114" s="6" t="s">
        <v>78</v>
      </c>
      <c r="I114" s="6"/>
      <c r="J114" s="9" t="s">
        <v>47</v>
      </c>
      <c r="K114" s="9">
        <v>321000</v>
      </c>
      <c r="L114" s="9">
        <f>K114*0.12</f>
        <v>38520</v>
      </c>
      <c r="M114" s="9" t="s">
        <v>72</v>
      </c>
      <c r="N114" s="9">
        <f>L114*0.2</f>
        <v>7704</v>
      </c>
      <c r="O114" s="42" t="s">
        <v>27</v>
      </c>
      <c r="P114" s="34">
        <f>L114*0.8</f>
        <v>30816</v>
      </c>
      <c r="Q114" s="42" t="s">
        <v>27</v>
      </c>
      <c r="R114" s="42" t="s">
        <v>27</v>
      </c>
      <c r="S114" s="6"/>
      <c r="T114" s="6"/>
      <c r="U114" s="6" t="s">
        <v>209</v>
      </c>
      <c r="V114" s="6"/>
    </row>
    <row r="115" spans="2:22" ht="18" customHeight="1" x14ac:dyDescent="0.3">
      <c r="B115" s="6" t="s">
        <v>515</v>
      </c>
      <c r="C115" s="46" t="s">
        <v>634</v>
      </c>
      <c r="D115" s="6"/>
      <c r="E115" s="20"/>
      <c r="F115" s="6"/>
      <c r="G115" s="6" t="s">
        <v>57</v>
      </c>
      <c r="H115" s="6" t="s">
        <v>24</v>
      </c>
      <c r="I115" s="6"/>
      <c r="J115" s="9" t="s">
        <v>25</v>
      </c>
      <c r="K115" s="9">
        <v>299892.40000000002</v>
      </c>
      <c r="L115" s="9">
        <f>K115*0.18</f>
        <v>53980.632000000005</v>
      </c>
      <c r="M115" s="9" t="s">
        <v>26</v>
      </c>
      <c r="N115" s="9"/>
      <c r="O115" s="34"/>
      <c r="P115" s="34">
        <f>L115</f>
        <v>53980.632000000005</v>
      </c>
      <c r="Q115" s="42" t="s">
        <v>27</v>
      </c>
      <c r="R115" s="42" t="s">
        <v>27</v>
      </c>
      <c r="S115" s="6"/>
      <c r="T115" s="6"/>
      <c r="U115" s="6" t="s">
        <v>209</v>
      </c>
      <c r="V115" s="6"/>
    </row>
    <row r="116" spans="2:22" ht="18" customHeight="1" x14ac:dyDescent="0.3">
      <c r="B116" s="46" t="s">
        <v>635</v>
      </c>
      <c r="C116" s="46" t="s">
        <v>636</v>
      </c>
      <c r="D116" s="6"/>
      <c r="E116" s="20"/>
      <c r="F116" s="6"/>
      <c r="G116" s="6" t="s">
        <v>57</v>
      </c>
      <c r="H116" s="6" t="s">
        <v>46</v>
      </c>
      <c r="I116" s="6"/>
      <c r="J116" s="9" t="s">
        <v>315</v>
      </c>
      <c r="K116" s="9">
        <v>252000</v>
      </c>
      <c r="L116" s="9">
        <f>K116*0.03</f>
        <v>7560</v>
      </c>
      <c r="M116" s="9" t="s">
        <v>26</v>
      </c>
      <c r="N116" s="9">
        <v>0</v>
      </c>
      <c r="O116" s="9"/>
      <c r="P116" s="34">
        <f>L116</f>
        <v>7560</v>
      </c>
      <c r="Q116" s="42" t="s">
        <v>27</v>
      </c>
      <c r="R116" s="42" t="s">
        <v>27</v>
      </c>
      <c r="S116" s="6"/>
      <c r="T116" s="6"/>
      <c r="U116" s="6" t="s">
        <v>209</v>
      </c>
      <c r="V116" s="6"/>
    </row>
    <row r="117" spans="2:22" ht="18" customHeight="1" x14ac:dyDescent="0.3">
      <c r="B117" s="234" t="s">
        <v>637</v>
      </c>
      <c r="C117" s="46" t="s">
        <v>638</v>
      </c>
      <c r="D117" s="6"/>
      <c r="E117" s="20"/>
      <c r="F117" s="6" t="s">
        <v>119</v>
      </c>
      <c r="G117" s="6" t="s">
        <v>145</v>
      </c>
      <c r="H117" s="6" t="s">
        <v>24</v>
      </c>
      <c r="I117" s="6"/>
      <c r="J117" s="9" t="s">
        <v>639</v>
      </c>
      <c r="K117" s="9">
        <v>509378.27</v>
      </c>
      <c r="L117" s="9">
        <f>K117*0.2</f>
        <v>101875.65400000001</v>
      </c>
      <c r="M117" s="9" t="s">
        <v>26</v>
      </c>
      <c r="N117" s="9">
        <v>0</v>
      </c>
      <c r="O117" s="9"/>
      <c r="P117" s="9">
        <f>L117</f>
        <v>101875.65400000001</v>
      </c>
      <c r="Q117" s="31" t="s">
        <v>340</v>
      </c>
      <c r="R117" s="42" t="s">
        <v>27</v>
      </c>
      <c r="S117" s="6"/>
      <c r="T117" s="6"/>
      <c r="U117" s="6" t="s">
        <v>209</v>
      </c>
      <c r="V117" s="6"/>
    </row>
    <row r="118" spans="2:22" ht="18" customHeight="1" x14ac:dyDescent="0.3">
      <c r="B118" s="235" t="s">
        <v>640</v>
      </c>
      <c r="C118" s="46" t="s">
        <v>641</v>
      </c>
      <c r="D118" s="6"/>
      <c r="E118" s="20"/>
      <c r="F118" s="6"/>
      <c r="G118" s="6" t="s">
        <v>57</v>
      </c>
      <c r="H118" s="230" t="s">
        <v>642</v>
      </c>
      <c r="I118" s="230"/>
      <c r="J118" s="9" t="s">
        <v>25</v>
      </c>
      <c r="K118" s="9">
        <v>990789.87</v>
      </c>
      <c r="L118" s="9">
        <f t="shared" ref="L118:L123" si="0">K118*0.15</f>
        <v>148618.48050000001</v>
      </c>
      <c r="M118" s="9" t="s">
        <v>643</v>
      </c>
      <c r="N118" s="9">
        <f>L118*0.3</f>
        <v>44585.544150000002</v>
      </c>
      <c r="O118" s="174" t="s">
        <v>340</v>
      </c>
      <c r="P118" s="9">
        <f>L118*0.7</f>
        <v>104032.93635</v>
      </c>
      <c r="Q118" s="42" t="s">
        <v>27</v>
      </c>
      <c r="R118" s="42" t="s">
        <v>27</v>
      </c>
      <c r="S118" s="6"/>
      <c r="T118" s="6"/>
      <c r="U118" s="6" t="s">
        <v>217</v>
      </c>
      <c r="V118" s="6"/>
    </row>
    <row r="119" spans="2:22" ht="18" customHeight="1" x14ac:dyDescent="0.3">
      <c r="B119" s="46" t="s">
        <v>644</v>
      </c>
      <c r="C119" s="46" t="s">
        <v>645</v>
      </c>
      <c r="D119" s="6"/>
      <c r="E119" s="20"/>
      <c r="F119" s="6"/>
      <c r="G119" s="6" t="s">
        <v>57</v>
      </c>
      <c r="H119" s="6" t="s">
        <v>24</v>
      </c>
      <c r="I119" s="6"/>
      <c r="J119" s="9" t="s">
        <v>25</v>
      </c>
      <c r="K119" s="9">
        <v>208846.15</v>
      </c>
      <c r="L119" s="9">
        <f t="shared" si="0"/>
        <v>31326.922499999997</v>
      </c>
      <c r="M119" s="9" t="s">
        <v>26</v>
      </c>
      <c r="N119" s="9">
        <v>0</v>
      </c>
      <c r="O119" s="9"/>
      <c r="P119" s="9">
        <f t="shared" ref="P119:P126" si="1">L119</f>
        <v>31326.922499999997</v>
      </c>
      <c r="Q119" s="42" t="s">
        <v>27</v>
      </c>
      <c r="R119" s="42" t="s">
        <v>27</v>
      </c>
      <c r="S119" s="6"/>
      <c r="T119" s="6"/>
      <c r="U119" s="6" t="s">
        <v>217</v>
      </c>
      <c r="V119" s="6"/>
    </row>
    <row r="120" spans="2:22" ht="18" customHeight="1" x14ac:dyDescent="0.3">
      <c r="B120" s="46" t="s">
        <v>646</v>
      </c>
      <c r="C120" s="46" t="s">
        <v>647</v>
      </c>
      <c r="D120" s="6"/>
      <c r="E120" s="20"/>
      <c r="F120" s="6"/>
      <c r="G120" s="6" t="s">
        <v>57</v>
      </c>
      <c r="H120" s="6" t="s">
        <v>24</v>
      </c>
      <c r="I120" s="6"/>
      <c r="J120" s="9" t="s">
        <v>25</v>
      </c>
      <c r="K120" s="10">
        <v>756042.89</v>
      </c>
      <c r="L120" s="9">
        <f t="shared" si="0"/>
        <v>113406.4335</v>
      </c>
      <c r="M120" s="9" t="s">
        <v>26</v>
      </c>
      <c r="N120" s="9">
        <v>0</v>
      </c>
      <c r="O120" s="9"/>
      <c r="P120" s="9">
        <f t="shared" si="1"/>
        <v>113406.4335</v>
      </c>
      <c r="Q120" s="42" t="s">
        <v>27</v>
      </c>
      <c r="R120" s="42" t="s">
        <v>27</v>
      </c>
      <c r="S120" s="6"/>
      <c r="T120" s="6"/>
      <c r="U120" s="6" t="s">
        <v>217</v>
      </c>
      <c r="V120" s="6"/>
    </row>
    <row r="121" spans="2:22" ht="18" customHeight="1" x14ac:dyDescent="0.3">
      <c r="B121" s="234" t="s">
        <v>648</v>
      </c>
      <c r="C121" s="46" t="s">
        <v>649</v>
      </c>
      <c r="D121" s="6"/>
      <c r="E121" s="20"/>
      <c r="F121" s="6" t="s">
        <v>209</v>
      </c>
      <c r="G121" s="6" t="s">
        <v>53</v>
      </c>
      <c r="H121" s="6" t="s">
        <v>24</v>
      </c>
      <c r="I121" s="6"/>
      <c r="J121" s="9" t="s">
        <v>142</v>
      </c>
      <c r="K121" s="9">
        <v>58300</v>
      </c>
      <c r="L121" s="9">
        <f t="shared" si="0"/>
        <v>8745</v>
      </c>
      <c r="M121" s="9" t="s">
        <v>26</v>
      </c>
      <c r="N121" s="9">
        <v>0</v>
      </c>
      <c r="O121" s="9"/>
      <c r="P121" s="9">
        <f t="shared" si="1"/>
        <v>8745</v>
      </c>
      <c r="Q121" s="31" t="s">
        <v>340</v>
      </c>
      <c r="R121" s="42" t="s">
        <v>27</v>
      </c>
      <c r="S121" s="6"/>
      <c r="T121" s="6"/>
      <c r="U121" s="6" t="s">
        <v>217</v>
      </c>
      <c r="V121" s="6"/>
    </row>
    <row r="122" spans="2:22" ht="18" customHeight="1" x14ac:dyDescent="0.3">
      <c r="B122" s="46" t="s">
        <v>519</v>
      </c>
      <c r="C122" s="46" t="s">
        <v>650</v>
      </c>
      <c r="D122" s="6"/>
      <c r="E122" s="20"/>
      <c r="F122" s="6"/>
      <c r="G122" s="6" t="s">
        <v>57</v>
      </c>
      <c r="H122" s="6" t="s">
        <v>24</v>
      </c>
      <c r="I122" s="6"/>
      <c r="J122" s="9" t="s">
        <v>47</v>
      </c>
      <c r="K122" s="9">
        <v>127400</v>
      </c>
      <c r="L122" s="9">
        <f t="shared" si="0"/>
        <v>19110</v>
      </c>
      <c r="M122" s="9" t="s">
        <v>26</v>
      </c>
      <c r="N122" s="9">
        <v>0</v>
      </c>
      <c r="O122" s="9"/>
      <c r="P122" s="9">
        <f t="shared" si="1"/>
        <v>19110</v>
      </c>
      <c r="Q122" s="42" t="s">
        <v>27</v>
      </c>
      <c r="R122" s="42" t="s">
        <v>27</v>
      </c>
      <c r="S122" s="6"/>
      <c r="T122" s="6"/>
      <c r="U122" s="6" t="s">
        <v>217</v>
      </c>
      <c r="V122" s="6"/>
    </row>
    <row r="123" spans="2:22" ht="18" customHeight="1" x14ac:dyDescent="0.3">
      <c r="B123" s="46" t="s">
        <v>81</v>
      </c>
      <c r="C123" s="46" t="s">
        <v>651</v>
      </c>
      <c r="D123" s="6"/>
      <c r="E123" s="20"/>
      <c r="F123" s="6"/>
      <c r="G123" s="6" t="s">
        <v>213</v>
      </c>
      <c r="H123" s="6" t="s">
        <v>24</v>
      </c>
      <c r="I123" s="6"/>
      <c r="J123" s="9" t="s">
        <v>47</v>
      </c>
      <c r="K123" s="9">
        <v>31043.14</v>
      </c>
      <c r="L123" s="9">
        <f t="shared" si="0"/>
        <v>4656.4709999999995</v>
      </c>
      <c r="M123" s="9" t="s">
        <v>26</v>
      </c>
      <c r="N123" s="9"/>
      <c r="O123" s="34"/>
      <c r="P123" s="9">
        <f t="shared" si="1"/>
        <v>4656.4709999999995</v>
      </c>
      <c r="Q123" s="42" t="s">
        <v>27</v>
      </c>
      <c r="R123" s="42" t="s">
        <v>27</v>
      </c>
      <c r="S123" s="6"/>
      <c r="T123" s="6"/>
      <c r="U123" s="6" t="s">
        <v>217</v>
      </c>
      <c r="V123" s="6"/>
    </row>
    <row r="124" spans="2:22" ht="18" customHeight="1" x14ac:dyDescent="0.3">
      <c r="B124" s="46" t="s">
        <v>652</v>
      </c>
      <c r="C124" s="46" t="s">
        <v>653</v>
      </c>
      <c r="D124" s="6"/>
      <c r="E124" s="20"/>
      <c r="F124" s="6"/>
      <c r="G124" s="6" t="s">
        <v>57</v>
      </c>
      <c r="H124" s="6" t="s">
        <v>46</v>
      </c>
      <c r="I124" s="6"/>
      <c r="J124" s="9" t="s">
        <v>315</v>
      </c>
      <c r="K124" s="9">
        <v>139373.37</v>
      </c>
      <c r="L124" s="9">
        <f>K124*0.03</f>
        <v>4181.2010999999993</v>
      </c>
      <c r="M124" s="9" t="s">
        <v>26</v>
      </c>
      <c r="N124" s="9">
        <v>0</v>
      </c>
      <c r="O124" s="9"/>
      <c r="P124" s="9">
        <f t="shared" si="1"/>
        <v>4181.2010999999993</v>
      </c>
      <c r="Q124" s="42" t="s">
        <v>27</v>
      </c>
      <c r="R124" s="42" t="s">
        <v>27</v>
      </c>
      <c r="S124" s="6"/>
      <c r="T124" s="6"/>
      <c r="U124" s="6" t="s">
        <v>217</v>
      </c>
      <c r="V124" s="6"/>
    </row>
    <row r="125" spans="2:22" ht="21.6" customHeight="1" x14ac:dyDescent="0.3">
      <c r="B125" s="234" t="s">
        <v>525</v>
      </c>
      <c r="C125" s="46" t="s">
        <v>42</v>
      </c>
      <c r="D125" s="6"/>
      <c r="E125" s="20"/>
      <c r="F125" s="6" t="s">
        <v>119</v>
      </c>
      <c r="G125" s="6" t="s">
        <v>53</v>
      </c>
      <c r="H125" s="6" t="s">
        <v>24</v>
      </c>
      <c r="I125" s="6"/>
      <c r="J125" s="9" t="s">
        <v>206</v>
      </c>
      <c r="K125" s="9">
        <v>57143.1</v>
      </c>
      <c r="L125" s="9">
        <f>K125*0.12</f>
        <v>6857.1719999999996</v>
      </c>
      <c r="M125" s="9" t="s">
        <v>26</v>
      </c>
      <c r="N125" s="9"/>
      <c r="O125" s="9"/>
      <c r="P125" s="9">
        <f t="shared" si="1"/>
        <v>6857.1719999999996</v>
      </c>
      <c r="Q125" s="42" t="s">
        <v>27</v>
      </c>
      <c r="R125" s="42" t="s">
        <v>27</v>
      </c>
      <c r="S125" s="6"/>
      <c r="T125" s="6"/>
      <c r="U125" s="6" t="s">
        <v>217</v>
      </c>
      <c r="V125" s="6"/>
    </row>
    <row r="126" spans="2:22" ht="21.6" customHeight="1" x14ac:dyDescent="0.3">
      <c r="B126" s="46" t="s">
        <v>391</v>
      </c>
      <c r="C126" s="46" t="s">
        <v>392</v>
      </c>
      <c r="D126" s="6"/>
      <c r="E126" s="20"/>
      <c r="F126" s="6"/>
      <c r="G126" s="6" t="s">
        <v>654</v>
      </c>
      <c r="H126" s="6" t="s">
        <v>24</v>
      </c>
      <c r="I126" s="6"/>
      <c r="J126" s="9" t="s">
        <v>25</v>
      </c>
      <c r="K126" s="9">
        <v>51343.199999999997</v>
      </c>
      <c r="L126" s="9">
        <f>K126*0.15</f>
        <v>7701.48</v>
      </c>
      <c r="M126" s="9" t="s">
        <v>26</v>
      </c>
      <c r="N126" s="9">
        <v>0</v>
      </c>
      <c r="O126" s="9"/>
      <c r="P126" s="9">
        <f t="shared" si="1"/>
        <v>7701.48</v>
      </c>
      <c r="Q126" s="42" t="s">
        <v>27</v>
      </c>
      <c r="R126" s="42" t="s">
        <v>27</v>
      </c>
      <c r="S126" s="6"/>
      <c r="T126" s="6"/>
      <c r="U126" s="6" t="s">
        <v>217</v>
      </c>
      <c r="V126" s="6"/>
    </row>
    <row r="127" spans="2:22" ht="21.6" customHeight="1" x14ac:dyDescent="0.3">
      <c r="B127" s="235" t="s">
        <v>245</v>
      </c>
      <c r="C127" s="46" t="s">
        <v>655</v>
      </c>
      <c r="D127" s="6"/>
      <c r="E127" s="20"/>
      <c r="F127" s="6"/>
      <c r="G127" s="6" t="s">
        <v>213</v>
      </c>
      <c r="H127" s="6" t="s">
        <v>616</v>
      </c>
      <c r="I127" s="6"/>
      <c r="J127" s="9" t="s">
        <v>47</v>
      </c>
      <c r="K127" s="9">
        <v>411000</v>
      </c>
      <c r="L127" s="9">
        <f>K127*0.12</f>
        <v>49320</v>
      </c>
      <c r="M127" s="9" t="s">
        <v>72</v>
      </c>
      <c r="N127" s="9">
        <f>L127*0.2</f>
        <v>9864</v>
      </c>
      <c r="O127" s="42" t="s">
        <v>27</v>
      </c>
      <c r="P127" s="9">
        <f>L127*0.8</f>
        <v>39456</v>
      </c>
      <c r="Q127" s="42" t="s">
        <v>27</v>
      </c>
      <c r="R127" s="42" t="s">
        <v>27</v>
      </c>
      <c r="S127" s="6"/>
      <c r="T127" s="6"/>
      <c r="U127" s="6" t="s">
        <v>223</v>
      </c>
      <c r="V127" s="6"/>
    </row>
    <row r="128" spans="2:22" ht="21.6" customHeight="1" x14ac:dyDescent="0.3">
      <c r="B128" s="235" t="s">
        <v>245</v>
      </c>
      <c r="C128" s="46" t="s">
        <v>655</v>
      </c>
      <c r="D128" s="6"/>
      <c r="E128" s="20"/>
      <c r="F128" s="6"/>
      <c r="G128" s="6" t="s">
        <v>57</v>
      </c>
      <c r="H128" s="6" t="s">
        <v>616</v>
      </c>
      <c r="I128" s="6"/>
      <c r="J128" s="9" t="s">
        <v>47</v>
      </c>
      <c r="K128" s="9">
        <v>1364457.9</v>
      </c>
      <c r="L128" s="9">
        <f>K128*0.15</f>
        <v>204668.68499999997</v>
      </c>
      <c r="M128" s="9" t="s">
        <v>68</v>
      </c>
      <c r="N128" s="9">
        <f>L128*0.4</f>
        <v>81867.473999999987</v>
      </c>
      <c r="O128" s="174" t="s">
        <v>340</v>
      </c>
      <c r="P128" s="9">
        <f>L128*0.6</f>
        <v>122801.21099999998</v>
      </c>
      <c r="Q128" s="42" t="s">
        <v>27</v>
      </c>
      <c r="R128" s="42" t="s">
        <v>27</v>
      </c>
      <c r="S128" s="6"/>
      <c r="T128" s="6"/>
      <c r="U128" s="6" t="s">
        <v>223</v>
      </c>
      <c r="V128" s="6"/>
    </row>
    <row r="129" spans="1:22" ht="21.6" customHeight="1" x14ac:dyDescent="0.3">
      <c r="B129" s="46" t="s">
        <v>492</v>
      </c>
      <c r="C129" s="46" t="s">
        <v>656</v>
      </c>
      <c r="D129" s="6"/>
      <c r="E129" s="20"/>
      <c r="F129" s="6"/>
      <c r="G129" s="6" t="s">
        <v>657</v>
      </c>
      <c r="H129" s="6" t="s">
        <v>24</v>
      </c>
      <c r="I129" s="6"/>
      <c r="J129" s="9" t="s">
        <v>47</v>
      </c>
      <c r="K129" s="9">
        <v>199918.75</v>
      </c>
      <c r="L129" s="9">
        <f>K129*0.1</f>
        <v>19991.875</v>
      </c>
      <c r="M129" s="9" t="s">
        <v>26</v>
      </c>
      <c r="N129" s="9">
        <v>0</v>
      </c>
      <c r="O129" s="9"/>
      <c r="P129" s="9">
        <f>L129</f>
        <v>19991.875</v>
      </c>
      <c r="Q129" s="42" t="s">
        <v>27</v>
      </c>
      <c r="R129" s="42" t="s">
        <v>27</v>
      </c>
      <c r="S129" s="6"/>
      <c r="T129" s="6"/>
      <c r="U129" s="6" t="s">
        <v>223</v>
      </c>
      <c r="V129" s="6"/>
    </row>
    <row r="130" spans="1:22" ht="21.6" customHeight="1" x14ac:dyDescent="0.3">
      <c r="B130" s="46" t="s">
        <v>658</v>
      </c>
      <c r="C130" s="46" t="s">
        <v>656</v>
      </c>
      <c r="D130" s="6"/>
      <c r="E130" s="20"/>
      <c r="F130" s="6"/>
      <c r="G130" s="6" t="s">
        <v>657</v>
      </c>
      <c r="H130" s="6" t="s">
        <v>24</v>
      </c>
      <c r="I130" s="6"/>
      <c r="J130" s="9" t="s">
        <v>47</v>
      </c>
      <c r="K130" s="9">
        <v>45093.36</v>
      </c>
      <c r="L130" s="9">
        <f>K130*0.1</f>
        <v>4509.3360000000002</v>
      </c>
      <c r="M130" s="9" t="s">
        <v>26</v>
      </c>
      <c r="N130" s="9">
        <v>0</v>
      </c>
      <c r="O130" s="9"/>
      <c r="P130" s="9">
        <f>L130</f>
        <v>4509.3360000000002</v>
      </c>
      <c r="Q130" s="42" t="s">
        <v>27</v>
      </c>
      <c r="R130" s="42" t="s">
        <v>27</v>
      </c>
      <c r="S130" s="6"/>
      <c r="T130" s="6"/>
      <c r="U130" s="6" t="s">
        <v>223</v>
      </c>
      <c r="V130" s="6"/>
    </row>
    <row r="131" spans="1:22" ht="21.6" customHeight="1" x14ac:dyDescent="0.3">
      <c r="B131" s="46" t="s">
        <v>659</v>
      </c>
      <c r="C131" s="46" t="s">
        <v>660</v>
      </c>
      <c r="D131" s="6"/>
      <c r="E131" s="20"/>
      <c r="F131" s="6"/>
      <c r="G131" s="6" t="s">
        <v>57</v>
      </c>
      <c r="H131" s="6" t="s">
        <v>616</v>
      </c>
      <c r="I131" s="6"/>
      <c r="J131" s="9" t="s">
        <v>47</v>
      </c>
      <c r="K131" s="9">
        <v>341896.44</v>
      </c>
      <c r="L131" s="9">
        <f>K131*0.15</f>
        <v>51284.466</v>
      </c>
      <c r="M131" s="9" t="s">
        <v>68</v>
      </c>
      <c r="N131" s="9">
        <f>L131*0.4</f>
        <v>20513.786400000001</v>
      </c>
      <c r="O131" s="174" t="s">
        <v>340</v>
      </c>
      <c r="P131" s="9">
        <f>L131*0.6</f>
        <v>30770.679599999999</v>
      </c>
      <c r="Q131" s="42" t="s">
        <v>27</v>
      </c>
      <c r="R131" s="42" t="s">
        <v>27</v>
      </c>
      <c r="S131" s="6"/>
      <c r="T131" s="6"/>
      <c r="U131" s="6" t="s">
        <v>223</v>
      </c>
      <c r="V131" s="6"/>
    </row>
    <row r="132" spans="1:22" ht="21.6" customHeight="1" x14ac:dyDescent="0.3">
      <c r="B132" s="46" t="s">
        <v>659</v>
      </c>
      <c r="C132" s="46" t="s">
        <v>660</v>
      </c>
      <c r="D132" s="6"/>
      <c r="E132" s="20"/>
      <c r="F132" s="6"/>
      <c r="G132" s="6" t="s">
        <v>213</v>
      </c>
      <c r="H132" s="6" t="s">
        <v>616</v>
      </c>
      <c r="I132" s="6"/>
      <c r="J132" s="9" t="s">
        <v>47</v>
      </c>
      <c r="K132" s="9">
        <v>123500.1</v>
      </c>
      <c r="L132" s="9">
        <f>K132*0.12</f>
        <v>14820.012000000001</v>
      </c>
      <c r="M132" s="9" t="s">
        <v>72</v>
      </c>
      <c r="N132" s="9">
        <f>L132*0.2</f>
        <v>2964.0024000000003</v>
      </c>
      <c r="O132" s="42" t="s">
        <v>27</v>
      </c>
      <c r="P132" s="9">
        <f>L132*0.8</f>
        <v>11856.009600000001</v>
      </c>
      <c r="Q132" s="42" t="s">
        <v>27</v>
      </c>
      <c r="R132" s="42" t="s">
        <v>27</v>
      </c>
      <c r="S132" s="6"/>
      <c r="T132" s="6"/>
      <c r="U132" s="6" t="s">
        <v>223</v>
      </c>
      <c r="V132" s="6"/>
    </row>
    <row r="133" spans="1:22" ht="21.6" customHeight="1" x14ac:dyDescent="0.3">
      <c r="B133" s="235" t="s">
        <v>661</v>
      </c>
      <c r="C133" s="46" t="s">
        <v>662</v>
      </c>
      <c r="D133" s="6"/>
      <c r="E133" s="20"/>
      <c r="F133" s="6"/>
      <c r="G133" s="6" t="s">
        <v>57</v>
      </c>
      <c r="H133" s="6" t="s">
        <v>24</v>
      </c>
      <c r="I133" s="6"/>
      <c r="J133" s="9" t="s">
        <v>25</v>
      </c>
      <c r="K133" s="9">
        <v>49350</v>
      </c>
      <c r="L133" s="9">
        <f>K133*0.15</f>
        <v>7402.5</v>
      </c>
      <c r="M133" s="9" t="s">
        <v>26</v>
      </c>
      <c r="N133" s="9">
        <v>0</v>
      </c>
      <c r="O133" s="9"/>
      <c r="P133" s="9">
        <f>L133</f>
        <v>7402.5</v>
      </c>
      <c r="Q133" s="42" t="s">
        <v>27</v>
      </c>
      <c r="R133" s="42" t="s">
        <v>27</v>
      </c>
      <c r="S133" s="6"/>
      <c r="T133" s="6"/>
      <c r="U133" s="6" t="s">
        <v>223</v>
      </c>
      <c r="V133" s="6"/>
    </row>
    <row r="134" spans="1:22" ht="21" customHeight="1" x14ac:dyDescent="0.3">
      <c r="B134" s="234" t="s">
        <v>525</v>
      </c>
      <c r="C134" s="46" t="s">
        <v>663</v>
      </c>
      <c r="D134" s="6"/>
      <c r="E134" s="20"/>
      <c r="F134" s="6" t="s">
        <v>119</v>
      </c>
      <c r="G134" s="6" t="s">
        <v>664</v>
      </c>
      <c r="H134" s="6" t="s">
        <v>24</v>
      </c>
      <c r="I134" s="6"/>
      <c r="J134" s="9" t="s">
        <v>639</v>
      </c>
      <c r="K134" s="9">
        <v>19933.5</v>
      </c>
      <c r="L134" s="9">
        <f>K134*0.06</f>
        <v>1196.01</v>
      </c>
      <c r="M134" s="9" t="s">
        <v>26</v>
      </c>
      <c r="N134" s="9">
        <v>0</v>
      </c>
      <c r="O134" s="9"/>
      <c r="P134" s="9">
        <f t="shared" ref="P134:P139" si="2">L134</f>
        <v>1196.01</v>
      </c>
      <c r="Q134" s="42" t="s">
        <v>27</v>
      </c>
      <c r="R134" s="42" t="s">
        <v>27</v>
      </c>
      <c r="S134" s="6"/>
      <c r="T134" s="6"/>
      <c r="U134" s="6" t="s">
        <v>223</v>
      </c>
      <c r="V134" s="6"/>
    </row>
    <row r="135" spans="1:22" ht="21" customHeight="1" x14ac:dyDescent="0.3">
      <c r="B135" s="234" t="s">
        <v>525</v>
      </c>
      <c r="C135" s="46" t="s">
        <v>665</v>
      </c>
      <c r="D135" s="6"/>
      <c r="E135" s="20"/>
      <c r="F135" s="6" t="s">
        <v>119</v>
      </c>
      <c r="G135" s="6" t="s">
        <v>664</v>
      </c>
      <c r="H135" s="6" t="s">
        <v>24</v>
      </c>
      <c r="I135" s="6"/>
      <c r="J135" s="9" t="s">
        <v>639</v>
      </c>
      <c r="K135" s="9">
        <v>19933.5</v>
      </c>
      <c r="L135" s="9">
        <f>K135*0.06</f>
        <v>1196.01</v>
      </c>
      <c r="M135" s="9" t="s">
        <v>26</v>
      </c>
      <c r="N135" s="9">
        <v>0</v>
      </c>
      <c r="O135" s="9"/>
      <c r="P135" s="9">
        <f t="shared" si="2"/>
        <v>1196.01</v>
      </c>
      <c r="Q135" s="42" t="s">
        <v>27</v>
      </c>
      <c r="R135" s="42" t="s">
        <v>27</v>
      </c>
      <c r="S135" s="6"/>
      <c r="T135" s="6"/>
      <c r="U135" s="6" t="s">
        <v>223</v>
      </c>
      <c r="V135" s="6"/>
    </row>
    <row r="136" spans="1:22" ht="21" customHeight="1" x14ac:dyDescent="0.3">
      <c r="B136" s="234" t="s">
        <v>525</v>
      </c>
      <c r="C136" s="46" t="s">
        <v>666</v>
      </c>
      <c r="D136" s="6"/>
      <c r="E136" s="20"/>
      <c r="F136" s="6" t="s">
        <v>119</v>
      </c>
      <c r="G136" s="6" t="s">
        <v>664</v>
      </c>
      <c r="H136" s="6" t="s">
        <v>24</v>
      </c>
      <c r="I136" s="6"/>
      <c r="J136" s="9" t="s">
        <v>639</v>
      </c>
      <c r="K136" s="9">
        <v>19933.5</v>
      </c>
      <c r="L136" s="9">
        <f>K136*0.06</f>
        <v>1196.01</v>
      </c>
      <c r="M136" s="9" t="s">
        <v>26</v>
      </c>
      <c r="N136" s="9">
        <v>0</v>
      </c>
      <c r="O136" s="9"/>
      <c r="P136" s="9">
        <f t="shared" si="2"/>
        <v>1196.01</v>
      </c>
      <c r="Q136" s="42" t="s">
        <v>27</v>
      </c>
      <c r="R136" s="42" t="s">
        <v>27</v>
      </c>
      <c r="S136" s="6"/>
      <c r="T136" s="6"/>
      <c r="U136" s="6" t="s">
        <v>223</v>
      </c>
      <c r="V136" s="6"/>
    </row>
    <row r="137" spans="1:22" ht="21" customHeight="1" x14ac:dyDescent="0.3">
      <c r="B137" s="234" t="s">
        <v>525</v>
      </c>
      <c r="C137" s="46" t="s">
        <v>667</v>
      </c>
      <c r="D137" s="6"/>
      <c r="E137" s="20"/>
      <c r="F137" s="6" t="s">
        <v>119</v>
      </c>
      <c r="G137" s="6" t="s">
        <v>664</v>
      </c>
      <c r="H137" s="6" t="s">
        <v>24</v>
      </c>
      <c r="I137" s="6"/>
      <c r="J137" s="9" t="s">
        <v>639</v>
      </c>
      <c r="K137" s="9">
        <v>19933.5</v>
      </c>
      <c r="L137" s="9">
        <f>K137*0.06</f>
        <v>1196.01</v>
      </c>
      <c r="M137" s="9" t="s">
        <v>26</v>
      </c>
      <c r="N137" s="9">
        <v>0</v>
      </c>
      <c r="O137" s="9"/>
      <c r="P137" s="9">
        <f t="shared" si="2"/>
        <v>1196.01</v>
      </c>
      <c r="Q137" s="42" t="s">
        <v>27</v>
      </c>
      <c r="R137" s="42" t="s">
        <v>27</v>
      </c>
      <c r="S137" s="6"/>
      <c r="T137" s="6"/>
      <c r="U137" s="6" t="s">
        <v>223</v>
      </c>
      <c r="V137" s="6"/>
    </row>
    <row r="138" spans="1:22" ht="21.6" customHeight="1" x14ac:dyDescent="0.3">
      <c r="A138" s="6"/>
      <c r="B138" s="46" t="s">
        <v>588</v>
      </c>
      <c r="C138" s="46" t="s">
        <v>668</v>
      </c>
      <c r="D138" s="6"/>
      <c r="E138" s="20"/>
      <c r="F138" s="6"/>
      <c r="G138" s="6" t="s">
        <v>57</v>
      </c>
      <c r="H138" s="6" t="s">
        <v>24</v>
      </c>
      <c r="I138" s="6"/>
      <c r="J138" s="9" t="s">
        <v>25</v>
      </c>
      <c r="K138" s="9">
        <v>42144.42</v>
      </c>
      <c r="L138" s="9">
        <f>K138*0.18</f>
        <v>7585.9955999999993</v>
      </c>
      <c r="M138" s="9" t="s">
        <v>26</v>
      </c>
      <c r="N138" s="9">
        <v>0</v>
      </c>
      <c r="O138" s="9"/>
      <c r="P138" s="9">
        <f t="shared" si="2"/>
        <v>7585.9955999999993</v>
      </c>
      <c r="Q138" s="42" t="s">
        <v>27</v>
      </c>
      <c r="R138" s="42" t="s">
        <v>27</v>
      </c>
      <c r="S138" s="6"/>
      <c r="T138" s="6"/>
      <c r="U138" s="6" t="s">
        <v>223</v>
      </c>
      <c r="V138" s="6"/>
    </row>
    <row r="139" spans="1:22" ht="21.6" customHeight="1" x14ac:dyDescent="0.3">
      <c r="B139" s="46" t="s">
        <v>439</v>
      </c>
      <c r="C139" s="46" t="s">
        <v>669</v>
      </c>
      <c r="D139" s="6"/>
      <c r="E139" s="20"/>
      <c r="F139" s="6"/>
      <c r="G139" s="6" t="s">
        <v>281</v>
      </c>
      <c r="H139" s="6" t="s">
        <v>24</v>
      </c>
      <c r="I139" s="6"/>
      <c r="J139" s="9" t="s">
        <v>47</v>
      </c>
      <c r="K139" s="9">
        <v>50528</v>
      </c>
      <c r="L139" s="9">
        <f>K139*0.12</f>
        <v>6063.36</v>
      </c>
      <c r="M139" s="9" t="s">
        <v>26</v>
      </c>
      <c r="N139" s="9"/>
      <c r="O139" s="9"/>
      <c r="P139" s="9">
        <f t="shared" si="2"/>
        <v>6063.36</v>
      </c>
      <c r="Q139" s="42" t="s">
        <v>27</v>
      </c>
      <c r="R139" s="42" t="s">
        <v>27</v>
      </c>
      <c r="S139" s="6"/>
      <c r="T139" s="6"/>
      <c r="U139" s="6" t="s">
        <v>223</v>
      </c>
      <c r="V139" s="6"/>
    </row>
    <row r="140" spans="1:22" ht="21.6" customHeight="1" x14ac:dyDescent="0.3">
      <c r="B140" s="46" t="s">
        <v>670</v>
      </c>
      <c r="C140" s="46" t="s">
        <v>671</v>
      </c>
      <c r="D140" s="6"/>
      <c r="E140" s="20"/>
      <c r="F140" s="6"/>
      <c r="G140" s="6" t="s">
        <v>213</v>
      </c>
      <c r="H140" s="6" t="s">
        <v>24</v>
      </c>
      <c r="I140" s="6"/>
      <c r="J140" s="9" t="s">
        <v>47</v>
      </c>
      <c r="K140" s="9">
        <v>12350.75</v>
      </c>
      <c r="L140" s="9">
        <f>K140*0.15</f>
        <v>1852.6125</v>
      </c>
      <c r="M140" s="9" t="s">
        <v>26</v>
      </c>
      <c r="N140" s="9"/>
      <c r="O140" s="9"/>
      <c r="P140" s="9">
        <f>L140</f>
        <v>1852.6125</v>
      </c>
      <c r="Q140" s="42" t="s">
        <v>27</v>
      </c>
      <c r="R140" s="42" t="s">
        <v>27</v>
      </c>
      <c r="S140" s="6"/>
      <c r="T140" s="6"/>
      <c r="U140" s="6" t="s">
        <v>223</v>
      </c>
      <c r="V140" s="6"/>
    </row>
    <row r="141" spans="1:22" ht="21.6" customHeight="1" x14ac:dyDescent="0.3">
      <c r="B141" s="43"/>
      <c r="C141" s="43"/>
      <c r="D141" s="43"/>
      <c r="E141" s="43"/>
      <c r="J141" s="1"/>
      <c r="K141" s="1"/>
      <c r="L141" s="1"/>
      <c r="M141" s="1"/>
      <c r="N141" s="1"/>
      <c r="O141" s="1"/>
      <c r="P141" s="1"/>
    </row>
    <row r="142" spans="1:22" ht="21.6" customHeight="1" x14ac:dyDescent="0.3">
      <c r="B142" s="43"/>
      <c r="C142" s="43"/>
      <c r="D142" s="43"/>
      <c r="E142" s="43"/>
      <c r="J142" s="1"/>
      <c r="K142" s="1">
        <f>SUBTOTAL(9,K2:K141)</f>
        <v>60033828.585000008</v>
      </c>
      <c r="L142" s="1">
        <f>SUBTOTAL(9,L2:L141)</f>
        <v>9234517.7991895266</v>
      </c>
      <c r="M142" s="1"/>
      <c r="N142" s="1"/>
      <c r="O142" s="1"/>
      <c r="P142" s="1"/>
    </row>
    <row r="143" spans="1:22" ht="21.6" customHeight="1" x14ac:dyDescent="0.3">
      <c r="B143" s="43"/>
      <c r="C143" s="43"/>
      <c r="D143" s="43"/>
      <c r="E143" s="43"/>
      <c r="J143" s="1"/>
      <c r="K143" s="1"/>
      <c r="L143" s="1"/>
      <c r="M143" s="1"/>
      <c r="N143" s="1"/>
      <c r="O143" s="1"/>
      <c r="P143" s="1"/>
    </row>
    <row r="144" spans="1:22" ht="21.6" customHeight="1" x14ac:dyDescent="0.3">
      <c r="B144" s="43"/>
      <c r="C144" s="43"/>
      <c r="D144" s="43"/>
      <c r="E144" s="43"/>
      <c r="J144" s="1"/>
      <c r="K144" s="1"/>
      <c r="L144" s="1"/>
      <c r="M144" s="1"/>
      <c r="N144" s="1"/>
      <c r="O144" s="1"/>
      <c r="P144" s="1"/>
    </row>
    <row r="145" spans="2:16" ht="19.350000000000001" customHeight="1" x14ac:dyDescent="0.3">
      <c r="B145" s="43"/>
      <c r="C145" s="43"/>
      <c r="D145" s="43"/>
      <c r="E145" s="43"/>
      <c r="J145" s="1"/>
      <c r="K145" s="1"/>
      <c r="L145" s="1"/>
      <c r="M145" s="1"/>
      <c r="N145" s="1"/>
      <c r="O145" s="1"/>
      <c r="P145" s="1"/>
    </row>
    <row r="146" spans="2:16" ht="18" customHeight="1" x14ac:dyDescent="0.3">
      <c r="B146" s="43"/>
      <c r="C146" s="43"/>
      <c r="D146" s="43"/>
      <c r="E146" s="43"/>
      <c r="F146" s="1"/>
      <c r="G146" s="1"/>
      <c r="H146" s="1"/>
      <c r="I146" s="1"/>
      <c r="J146" s="1"/>
      <c r="K146" s="1"/>
      <c r="L146" s="1"/>
    </row>
    <row r="147" spans="2:16" ht="18" customHeight="1" x14ac:dyDescent="0.3">
      <c r="B147" s="6" t="s">
        <v>672</v>
      </c>
      <c r="C147" s="6"/>
      <c r="D147" s="9">
        <f>F148</f>
        <v>9234517.7991895266</v>
      </c>
      <c r="E147"/>
      <c r="F147" s="39" t="s">
        <v>373</v>
      </c>
      <c r="G147" s="39" t="s">
        <v>374</v>
      </c>
      <c r="H147" s="39" t="s">
        <v>13</v>
      </c>
      <c r="I147" s="1"/>
      <c r="J147" s="1"/>
      <c r="K147" s="13"/>
      <c r="L147" s="1"/>
      <c r="N147" s="1"/>
    </row>
    <row r="148" spans="2:16" ht="18" customHeight="1" x14ac:dyDescent="0.3">
      <c r="B148" s="6" t="s">
        <v>375</v>
      </c>
      <c r="C148" s="6"/>
      <c r="D148" s="9">
        <f>D147*16%</f>
        <v>1477522.8478703243</v>
      </c>
      <c r="E148"/>
      <c r="F148" s="34">
        <f>SUBTOTAL(9,L2:L140)</f>
        <v>9234517.7991895266</v>
      </c>
      <c r="G148" s="34">
        <f>SUBTOTAL(9,N2:N148)</f>
        <v>3041556.2372099846</v>
      </c>
      <c r="H148" s="34">
        <f>SUBTOTAL(9,P2:P146)</f>
        <v>6192961.5619795481</v>
      </c>
      <c r="I148" s="319"/>
      <c r="J148" s="1"/>
      <c r="K148" s="1"/>
      <c r="L148" s="1"/>
    </row>
    <row r="149" spans="2:16" ht="18" customHeight="1" x14ac:dyDescent="0.3">
      <c r="B149" s="6" t="s">
        <v>376</v>
      </c>
      <c r="C149" s="6"/>
      <c r="D149" s="9">
        <f>D147+D148</f>
        <v>10712040.64705985</v>
      </c>
      <c r="E149"/>
      <c r="F149" s="40">
        <f>F148/17</f>
        <v>543206.92936408985</v>
      </c>
      <c r="G149" s="40">
        <f>G148/20</f>
        <v>152077.81186049923</v>
      </c>
      <c r="H149" s="40">
        <f>H148/17</f>
        <v>364291.85658703226</v>
      </c>
      <c r="I149" s="178"/>
      <c r="L149" s="13"/>
      <c r="N149" s="1"/>
    </row>
    <row r="150" spans="2:16" ht="18" customHeight="1" x14ac:dyDescent="0.3">
      <c r="E150"/>
      <c r="K150" s="1"/>
      <c r="L150" s="1"/>
      <c r="M150" s="1"/>
    </row>
    <row r="151" spans="2:16" ht="18" customHeight="1" x14ac:dyDescent="0.3">
      <c r="E151"/>
      <c r="G151" s="1"/>
      <c r="H151" s="1"/>
      <c r="I151" s="1"/>
      <c r="J151" s="178"/>
      <c r="M151" s="1"/>
    </row>
    <row r="152" spans="2:16" ht="18" customHeight="1" x14ac:dyDescent="0.3">
      <c r="E152"/>
      <c r="F152" s="1"/>
      <c r="G152" s="1"/>
    </row>
    <row r="153" spans="2:16" ht="18" customHeight="1" x14ac:dyDescent="0.3">
      <c r="E153"/>
      <c r="F153" s="1"/>
      <c r="H153" s="178"/>
      <c r="I153" s="178"/>
    </row>
    <row r="154" spans="2:16" ht="18" customHeight="1" x14ac:dyDescent="0.3">
      <c r="E154"/>
      <c r="G154" s="1"/>
      <c r="L154">
        <f>K154/17</f>
        <v>0</v>
      </c>
    </row>
    <row r="155" spans="2:16" ht="18" customHeight="1" x14ac:dyDescent="0.3">
      <c r="E155"/>
      <c r="F155" s="1"/>
      <c r="G155" s="178"/>
    </row>
    <row r="156" spans="2:16" ht="18" customHeight="1" x14ac:dyDescent="0.3">
      <c r="E156"/>
      <c r="G156" s="178"/>
    </row>
    <row r="157" spans="2:16" ht="18" customHeight="1" x14ac:dyDescent="0.3">
      <c r="C157" s="177" t="s">
        <v>673</v>
      </c>
      <c r="D157" s="177" t="s">
        <v>674</v>
      </c>
      <c r="E157"/>
    </row>
    <row r="158" spans="2:16" ht="18" customHeight="1" x14ac:dyDescent="0.3">
      <c r="B158" s="234" t="s">
        <v>675</v>
      </c>
      <c r="C158" s="46" t="s">
        <v>44</v>
      </c>
      <c r="D158" s="239" t="s">
        <v>676</v>
      </c>
      <c r="E158"/>
    </row>
    <row r="159" spans="2:16" ht="18" customHeight="1" x14ac:dyDescent="0.3">
      <c r="B159" s="234" t="s">
        <v>677</v>
      </c>
      <c r="C159" s="46" t="s">
        <v>44</v>
      </c>
      <c r="D159" s="239" t="s">
        <v>676</v>
      </c>
      <c r="E159"/>
    </row>
    <row r="160" spans="2:16" ht="18" customHeight="1" x14ac:dyDescent="0.3">
      <c r="B160" s="234" t="s">
        <v>678</v>
      </c>
      <c r="C160" s="46" t="s">
        <v>44</v>
      </c>
      <c r="D160" s="239" t="s">
        <v>676</v>
      </c>
      <c r="E160"/>
      <c r="F160" s="13"/>
    </row>
    <row r="161" spans="2:9" ht="18" customHeight="1" x14ac:dyDescent="0.3">
      <c r="B161" s="234" t="s">
        <v>679</v>
      </c>
      <c r="C161" s="46" t="s">
        <v>680</v>
      </c>
      <c r="D161" s="239" t="s">
        <v>676</v>
      </c>
      <c r="E161"/>
    </row>
    <row r="162" spans="2:9" ht="18" customHeight="1" x14ac:dyDescent="0.3">
      <c r="B162" s="234" t="s">
        <v>679</v>
      </c>
      <c r="C162" s="46" t="s">
        <v>680</v>
      </c>
      <c r="D162" s="239" t="s">
        <v>676</v>
      </c>
      <c r="E162"/>
    </row>
    <row r="163" spans="2:9" ht="18" customHeight="1" x14ac:dyDescent="0.3">
      <c r="B163" s="234" t="s">
        <v>681</v>
      </c>
      <c r="C163" s="46" t="s">
        <v>73</v>
      </c>
      <c r="D163" s="239" t="s">
        <v>676</v>
      </c>
      <c r="E163"/>
    </row>
    <row r="164" spans="2:9" ht="18" customHeight="1" x14ac:dyDescent="0.3">
      <c r="B164" s="234" t="s">
        <v>682</v>
      </c>
      <c r="C164" s="46" t="s">
        <v>73</v>
      </c>
      <c r="D164" s="239" t="s">
        <v>676</v>
      </c>
      <c r="E164"/>
      <c r="G164" s="206"/>
      <c r="H164" s="1"/>
      <c r="I164" s="1"/>
    </row>
    <row r="165" spans="2:9" ht="18" customHeight="1" x14ac:dyDescent="0.3">
      <c r="B165" s="234" t="s">
        <v>683</v>
      </c>
      <c r="C165" s="46" t="s">
        <v>84</v>
      </c>
      <c r="D165" s="239" t="s">
        <v>676</v>
      </c>
      <c r="E165"/>
      <c r="F165" s="13"/>
    </row>
    <row r="166" spans="2:9" ht="18" customHeight="1" x14ac:dyDescent="0.3">
      <c r="B166" s="234" t="s">
        <v>684</v>
      </c>
      <c r="C166" s="46" t="s">
        <v>209</v>
      </c>
      <c r="D166" s="6" t="s">
        <v>685</v>
      </c>
      <c r="E166"/>
      <c r="F166" s="13"/>
    </row>
    <row r="167" spans="2:9" ht="18" customHeight="1" x14ac:dyDescent="0.3">
      <c r="B167" s="234" t="s">
        <v>686</v>
      </c>
      <c r="C167" s="46" t="s">
        <v>119</v>
      </c>
      <c r="D167" s="239" t="s">
        <v>676</v>
      </c>
      <c r="E167"/>
      <c r="F167" s="13"/>
      <c r="H167" s="1"/>
      <c r="I167" s="1"/>
    </row>
    <row r="168" spans="2:9" ht="18" customHeight="1" x14ac:dyDescent="0.3">
      <c r="B168" s="234" t="s">
        <v>687</v>
      </c>
      <c r="C168" s="46" t="s">
        <v>119</v>
      </c>
      <c r="D168" s="239" t="s">
        <v>676</v>
      </c>
      <c r="E168"/>
      <c r="F168" s="13"/>
    </row>
    <row r="169" spans="2:9" ht="18" customHeight="1" x14ac:dyDescent="0.3">
      <c r="B169" s="234" t="s">
        <v>688</v>
      </c>
      <c r="C169" s="46" t="s">
        <v>28</v>
      </c>
      <c r="D169" s="239" t="s">
        <v>676</v>
      </c>
      <c r="E169"/>
      <c r="F169" s="13"/>
    </row>
    <row r="170" spans="2:9" ht="18" customHeight="1" x14ac:dyDescent="0.3">
      <c r="B170" s="234" t="s">
        <v>689</v>
      </c>
      <c r="C170" s="46" t="s">
        <v>119</v>
      </c>
      <c r="D170" s="239" t="s">
        <v>676</v>
      </c>
      <c r="E170"/>
      <c r="H170" s="1"/>
      <c r="I170" s="1"/>
    </row>
    <row r="171" spans="2:9" ht="18" customHeight="1" x14ac:dyDescent="0.3">
      <c r="B171" s="234" t="s">
        <v>690</v>
      </c>
      <c r="C171" s="46" t="s">
        <v>28</v>
      </c>
      <c r="D171" s="239" t="s">
        <v>676</v>
      </c>
      <c r="E171"/>
      <c r="F171" s="206"/>
    </row>
    <row r="172" spans="2:9" ht="18" customHeight="1" x14ac:dyDescent="0.3">
      <c r="B172" s="234" t="s">
        <v>691</v>
      </c>
      <c r="C172" s="46" t="s">
        <v>99</v>
      </c>
      <c r="D172" s="239" t="s">
        <v>676</v>
      </c>
      <c r="E172"/>
    </row>
    <row r="173" spans="2:9" ht="18" customHeight="1" x14ac:dyDescent="0.3">
      <c r="B173" s="234" t="s">
        <v>692</v>
      </c>
      <c r="C173" s="46" t="s">
        <v>144</v>
      </c>
      <c r="D173" s="239" t="s">
        <v>27</v>
      </c>
      <c r="E173"/>
    </row>
    <row r="174" spans="2:9" ht="18" customHeight="1" x14ac:dyDescent="0.3">
      <c r="B174" s="234" t="s">
        <v>693</v>
      </c>
      <c r="C174" s="46" t="s">
        <v>217</v>
      </c>
      <c r="D174" s="46" t="s">
        <v>694</v>
      </c>
      <c r="E174"/>
    </row>
    <row r="175" spans="2:9" ht="18" customHeight="1" x14ac:dyDescent="0.3">
      <c r="B175" s="234" t="s">
        <v>679</v>
      </c>
      <c r="C175" s="46" t="s">
        <v>119</v>
      </c>
      <c r="D175" s="239" t="s">
        <v>676</v>
      </c>
      <c r="E175"/>
    </row>
    <row r="176" spans="2:9" ht="18" customHeight="1" x14ac:dyDescent="0.3">
      <c r="B176" s="234" t="s">
        <v>679</v>
      </c>
      <c r="C176" s="46" t="s">
        <v>119</v>
      </c>
      <c r="D176" s="239" t="s">
        <v>676</v>
      </c>
      <c r="E176"/>
    </row>
    <row r="177" spans="2:5" ht="18" customHeight="1" x14ac:dyDescent="0.3">
      <c r="B177" s="234" t="s">
        <v>679</v>
      </c>
      <c r="C177" s="46" t="s">
        <v>119</v>
      </c>
      <c r="D177" s="239" t="s">
        <v>676</v>
      </c>
      <c r="E177"/>
    </row>
    <row r="178" spans="2:5" ht="18" customHeight="1" x14ac:dyDescent="0.3">
      <c r="B178" s="234" t="s">
        <v>679</v>
      </c>
      <c r="C178" s="46" t="s">
        <v>119</v>
      </c>
      <c r="D178" s="239" t="s">
        <v>676</v>
      </c>
      <c r="E178"/>
    </row>
    <row r="179" spans="2:5" ht="18" customHeight="1" x14ac:dyDescent="0.3">
      <c r="B179" s="234" t="s">
        <v>695</v>
      </c>
      <c r="C179" s="46" t="s">
        <v>73</v>
      </c>
      <c r="D179" s="239" t="s">
        <v>676</v>
      </c>
      <c r="E179"/>
    </row>
    <row r="180" spans="2:5" ht="18" customHeight="1" x14ac:dyDescent="0.3">
      <c r="B180" s="234" t="s">
        <v>696</v>
      </c>
      <c r="C180" s="46" t="s">
        <v>84</v>
      </c>
      <c r="D180" s="239" t="s">
        <v>676</v>
      </c>
      <c r="E180"/>
    </row>
    <row r="181" spans="2:5" ht="18" customHeight="1" x14ac:dyDescent="0.3">
      <c r="B181" s="234" t="s">
        <v>697</v>
      </c>
      <c r="C181" s="46" t="s">
        <v>119</v>
      </c>
      <c r="D181" s="230" t="s">
        <v>698</v>
      </c>
      <c r="E181"/>
    </row>
    <row r="182" spans="2:5" ht="18" customHeight="1" x14ac:dyDescent="0.3">
      <c r="B182" s="234" t="s">
        <v>699</v>
      </c>
      <c r="C182" s="46" t="s">
        <v>700</v>
      </c>
      <c r="D182" s="6" t="s">
        <v>701</v>
      </c>
      <c r="E182"/>
    </row>
    <row r="183" spans="2:5" ht="18" customHeight="1" x14ac:dyDescent="0.3">
      <c r="B183" s="237" t="s">
        <v>648</v>
      </c>
      <c r="C183" s="238" t="s">
        <v>209</v>
      </c>
      <c r="D183" s="46" t="s">
        <v>702</v>
      </c>
      <c r="E183"/>
    </row>
    <row r="184" spans="2:5" ht="18" customHeight="1" x14ac:dyDescent="0.3">
      <c r="B184" s="237" t="s">
        <v>703</v>
      </c>
      <c r="C184" s="238" t="s">
        <v>28</v>
      </c>
      <c r="D184" s="239" t="s">
        <v>676</v>
      </c>
      <c r="E184"/>
    </row>
    <row r="185" spans="2:5" ht="18" customHeight="1" x14ac:dyDescent="0.3">
      <c r="B185" s="237" t="s">
        <v>704</v>
      </c>
      <c r="C185" s="238" t="s">
        <v>84</v>
      </c>
      <c r="D185" s="239" t="s">
        <v>676</v>
      </c>
      <c r="E185"/>
    </row>
    <row r="186" spans="2:5" ht="18" customHeight="1" x14ac:dyDescent="0.3">
      <c r="B186" s="237" t="s">
        <v>705</v>
      </c>
      <c r="C186" s="176" t="s">
        <v>170</v>
      </c>
      <c r="D186" t="s">
        <v>706</v>
      </c>
      <c r="E186"/>
    </row>
    <row r="187" spans="2:5" ht="18" customHeight="1" x14ac:dyDescent="0.3">
      <c r="E187"/>
    </row>
    <row r="188" spans="2:5" ht="18" customHeight="1" x14ac:dyDescent="0.3">
      <c r="E188"/>
    </row>
    <row r="189" spans="2:5" ht="18" customHeight="1" x14ac:dyDescent="0.3">
      <c r="E189"/>
    </row>
    <row r="190" spans="2:5" ht="18" customHeight="1" x14ac:dyDescent="0.3">
      <c r="E190"/>
    </row>
    <row r="191" spans="2:5" ht="18" customHeight="1" x14ac:dyDescent="0.3">
      <c r="E191"/>
    </row>
    <row r="192" spans="2:5" ht="18" customHeight="1" x14ac:dyDescent="0.3">
      <c r="E192"/>
    </row>
    <row r="193" spans="5:5" ht="18" customHeight="1" x14ac:dyDescent="0.3">
      <c r="E193"/>
    </row>
    <row r="194" spans="5:5" ht="18" customHeight="1" x14ac:dyDescent="0.3">
      <c r="E194"/>
    </row>
    <row r="195" spans="5:5" ht="18" customHeight="1" x14ac:dyDescent="0.3">
      <c r="E195"/>
    </row>
    <row r="196" spans="5:5" ht="18" customHeight="1" x14ac:dyDescent="0.3">
      <c r="E196"/>
    </row>
    <row r="197" spans="5:5" ht="18" customHeight="1" x14ac:dyDescent="0.3">
      <c r="E197"/>
    </row>
    <row r="198" spans="5:5" ht="18" customHeight="1" x14ac:dyDescent="0.3">
      <c r="E198"/>
    </row>
    <row r="199" spans="5:5" ht="18" customHeight="1" x14ac:dyDescent="0.3">
      <c r="E199"/>
    </row>
    <row r="200" spans="5:5" ht="18" customHeight="1" x14ac:dyDescent="0.3">
      <c r="E200"/>
    </row>
    <row r="201" spans="5:5" ht="18" customHeight="1" x14ac:dyDescent="0.3">
      <c r="E201"/>
    </row>
    <row r="202" spans="5:5" ht="18" customHeight="1" x14ac:dyDescent="0.3">
      <c r="E202"/>
    </row>
    <row r="203" spans="5:5" ht="18" customHeight="1" x14ac:dyDescent="0.3">
      <c r="E203"/>
    </row>
    <row r="204" spans="5:5" ht="18" customHeight="1" x14ac:dyDescent="0.3">
      <c r="E204"/>
    </row>
    <row r="205" spans="5:5" ht="18" customHeight="1" x14ac:dyDescent="0.3">
      <c r="E205"/>
    </row>
    <row r="206" spans="5:5" ht="18" customHeight="1" x14ac:dyDescent="0.3">
      <c r="E206"/>
    </row>
    <row r="207" spans="5:5" ht="18" customHeight="1" x14ac:dyDescent="0.3">
      <c r="E207"/>
    </row>
    <row r="208" spans="5:5" ht="18" customHeight="1" x14ac:dyDescent="0.3">
      <c r="E208"/>
    </row>
    <row r="209" spans="5:5" ht="18" customHeight="1" x14ac:dyDescent="0.3">
      <c r="E209"/>
    </row>
    <row r="210" spans="5:5" ht="18" customHeight="1" x14ac:dyDescent="0.3">
      <c r="E210"/>
    </row>
    <row r="211" spans="5:5" ht="18" customHeight="1" x14ac:dyDescent="0.3">
      <c r="E211"/>
    </row>
    <row r="212" spans="5:5" ht="18" customHeight="1" x14ac:dyDescent="0.3">
      <c r="E212"/>
    </row>
    <row r="213" spans="5:5" ht="18" customHeight="1" x14ac:dyDescent="0.3">
      <c r="E213"/>
    </row>
    <row r="214" spans="5:5" ht="18" customHeight="1" x14ac:dyDescent="0.3">
      <c r="E214"/>
    </row>
    <row r="215" spans="5:5" ht="18" customHeight="1" x14ac:dyDescent="0.3">
      <c r="E215"/>
    </row>
    <row r="216" spans="5:5" ht="18" customHeight="1" x14ac:dyDescent="0.3">
      <c r="E216"/>
    </row>
    <row r="217" spans="5:5" ht="18" customHeight="1" x14ac:dyDescent="0.3">
      <c r="E217"/>
    </row>
    <row r="218" spans="5:5" ht="18" customHeight="1" x14ac:dyDescent="0.3">
      <c r="E218"/>
    </row>
    <row r="219" spans="5:5" ht="18" customHeight="1" x14ac:dyDescent="0.3">
      <c r="E219"/>
    </row>
    <row r="220" spans="5:5" ht="18" customHeight="1" x14ac:dyDescent="0.3">
      <c r="E220"/>
    </row>
    <row r="221" spans="5:5" ht="18" customHeight="1" x14ac:dyDescent="0.3">
      <c r="E221"/>
    </row>
    <row r="222" spans="5:5" ht="18" customHeight="1" x14ac:dyDescent="0.3">
      <c r="E222"/>
    </row>
    <row r="223" spans="5:5" ht="18" customHeight="1" x14ac:dyDescent="0.3">
      <c r="E223"/>
    </row>
    <row r="224" spans="5:5" ht="18" customHeight="1" x14ac:dyDescent="0.3">
      <c r="E224"/>
    </row>
    <row r="225" spans="5:5" ht="18" customHeight="1" x14ac:dyDescent="0.3">
      <c r="E225"/>
    </row>
    <row r="226" spans="5:5" ht="18" customHeight="1" x14ac:dyDescent="0.3">
      <c r="E226"/>
    </row>
    <row r="227" spans="5:5" ht="18" customHeight="1" x14ac:dyDescent="0.3">
      <c r="E227"/>
    </row>
    <row r="228" spans="5:5" ht="18" customHeight="1" x14ac:dyDescent="0.3">
      <c r="E228"/>
    </row>
    <row r="229" spans="5:5" ht="18" customHeight="1" x14ac:dyDescent="0.3">
      <c r="E229"/>
    </row>
    <row r="230" spans="5:5" ht="18" customHeight="1" x14ac:dyDescent="0.3">
      <c r="E230"/>
    </row>
    <row r="231" spans="5:5" ht="18" customHeight="1" x14ac:dyDescent="0.3">
      <c r="E231"/>
    </row>
    <row r="232" spans="5:5" ht="18" customHeight="1" x14ac:dyDescent="0.3">
      <c r="E232"/>
    </row>
    <row r="233" spans="5:5" ht="18" customHeight="1" x14ac:dyDescent="0.3">
      <c r="E233"/>
    </row>
    <row r="234" spans="5:5" ht="18" customHeight="1" x14ac:dyDescent="0.3">
      <c r="E234"/>
    </row>
    <row r="235" spans="5:5" ht="18" customHeight="1" x14ac:dyDescent="0.3">
      <c r="E235"/>
    </row>
    <row r="236" spans="5:5" ht="18" customHeight="1" x14ac:dyDescent="0.3">
      <c r="E236"/>
    </row>
    <row r="237" spans="5:5" ht="18" customHeight="1" x14ac:dyDescent="0.3">
      <c r="E237"/>
    </row>
    <row r="238" spans="5:5" ht="18" customHeight="1" x14ac:dyDescent="0.3">
      <c r="E238"/>
    </row>
    <row r="239" spans="5:5" ht="18" customHeight="1" x14ac:dyDescent="0.3">
      <c r="E239"/>
    </row>
    <row r="240" spans="5:5" ht="18" customHeight="1" x14ac:dyDescent="0.3">
      <c r="E240"/>
    </row>
    <row r="241" spans="5:5" ht="18" customHeight="1" x14ac:dyDescent="0.3">
      <c r="E241"/>
    </row>
    <row r="242" spans="5:5" ht="18" customHeight="1" x14ac:dyDescent="0.3">
      <c r="E242"/>
    </row>
    <row r="243" spans="5:5" ht="18" customHeight="1" x14ac:dyDescent="0.3">
      <c r="E243"/>
    </row>
    <row r="244" spans="5:5" ht="18" customHeight="1" x14ac:dyDescent="0.3">
      <c r="E244"/>
    </row>
    <row r="245" spans="5:5" ht="18" customHeight="1" x14ac:dyDescent="0.3">
      <c r="E245"/>
    </row>
    <row r="246" spans="5:5" ht="18" customHeight="1" x14ac:dyDescent="0.3">
      <c r="E246"/>
    </row>
    <row r="247" spans="5:5" ht="18" customHeight="1" x14ac:dyDescent="0.3">
      <c r="E247"/>
    </row>
    <row r="248" spans="5:5" ht="18" customHeight="1" x14ac:dyDescent="0.3">
      <c r="E248"/>
    </row>
    <row r="249" spans="5:5" ht="18" customHeight="1" x14ac:dyDescent="0.3">
      <c r="E249"/>
    </row>
    <row r="250" spans="5:5" ht="18" customHeight="1" x14ac:dyDescent="0.3">
      <c r="E250"/>
    </row>
    <row r="251" spans="5:5" ht="18" customHeight="1" x14ac:dyDescent="0.3">
      <c r="E251"/>
    </row>
    <row r="252" spans="5:5" ht="18" customHeight="1" x14ac:dyDescent="0.3">
      <c r="E252"/>
    </row>
    <row r="253" spans="5:5" ht="18" customHeight="1" x14ac:dyDescent="0.3">
      <c r="E253"/>
    </row>
    <row r="254" spans="5:5" ht="18" customHeight="1" x14ac:dyDescent="0.3">
      <c r="E254"/>
    </row>
    <row r="255" spans="5:5" ht="18" customHeight="1" x14ac:dyDescent="0.3">
      <c r="E255"/>
    </row>
    <row r="256" spans="5:5" ht="18" customHeight="1" x14ac:dyDescent="0.3">
      <c r="E256"/>
    </row>
    <row r="257" spans="5:5" ht="18" customHeight="1" x14ac:dyDescent="0.3">
      <c r="E257"/>
    </row>
    <row r="258" spans="5:5" ht="18" customHeight="1" x14ac:dyDescent="0.3">
      <c r="E258"/>
    </row>
    <row r="259" spans="5:5" ht="18" customHeight="1" x14ac:dyDescent="0.3">
      <c r="E259"/>
    </row>
    <row r="260" spans="5:5" ht="18" customHeight="1" x14ac:dyDescent="0.3">
      <c r="E260"/>
    </row>
    <row r="261" spans="5:5" ht="18" customHeight="1" x14ac:dyDescent="0.3">
      <c r="E261"/>
    </row>
    <row r="262" spans="5:5" ht="18" customHeight="1" x14ac:dyDescent="0.3">
      <c r="E262"/>
    </row>
    <row r="263" spans="5:5" ht="18" customHeight="1" x14ac:dyDescent="0.3">
      <c r="E263"/>
    </row>
    <row r="264" spans="5:5" ht="18" customHeight="1" x14ac:dyDescent="0.3">
      <c r="E264"/>
    </row>
    <row r="265" spans="5:5" ht="18" customHeight="1" x14ac:dyDescent="0.3">
      <c r="E265"/>
    </row>
    <row r="266" spans="5:5" ht="18" customHeight="1" x14ac:dyDescent="0.3">
      <c r="E266"/>
    </row>
    <row r="267" spans="5:5" ht="18" customHeight="1" x14ac:dyDescent="0.3">
      <c r="E267"/>
    </row>
    <row r="268" spans="5:5" ht="18" customHeight="1" x14ac:dyDescent="0.3">
      <c r="E268"/>
    </row>
    <row r="269" spans="5:5" ht="18" customHeight="1" x14ac:dyDescent="0.3">
      <c r="E269"/>
    </row>
    <row r="270" spans="5:5" ht="18" customHeight="1" x14ac:dyDescent="0.3">
      <c r="E270"/>
    </row>
    <row r="271" spans="5:5" ht="18" customHeight="1" x14ac:dyDescent="0.3">
      <c r="E271"/>
    </row>
    <row r="272" spans="5:5" ht="18" customHeight="1" x14ac:dyDescent="0.3">
      <c r="E272"/>
    </row>
    <row r="273" spans="5:5" ht="18" customHeight="1" x14ac:dyDescent="0.3">
      <c r="E273"/>
    </row>
    <row r="274" spans="5:5" ht="18" customHeight="1" x14ac:dyDescent="0.3">
      <c r="E274"/>
    </row>
    <row r="275" spans="5:5" ht="18" customHeight="1" x14ac:dyDescent="0.3">
      <c r="E275"/>
    </row>
    <row r="276" spans="5:5" ht="18" customHeight="1" x14ac:dyDescent="0.3">
      <c r="E276"/>
    </row>
    <row r="277" spans="5:5" ht="18" customHeight="1" x14ac:dyDescent="0.3">
      <c r="E277"/>
    </row>
    <row r="278" spans="5:5" ht="18" customHeight="1" x14ac:dyDescent="0.3">
      <c r="E278"/>
    </row>
    <row r="279" spans="5:5" ht="18" customHeight="1" x14ac:dyDescent="0.3">
      <c r="E279"/>
    </row>
    <row r="280" spans="5:5" ht="18" customHeight="1" x14ac:dyDescent="0.3">
      <c r="E280"/>
    </row>
    <row r="281" spans="5:5" ht="18" customHeight="1" x14ac:dyDescent="0.3">
      <c r="E281"/>
    </row>
    <row r="282" spans="5:5" ht="18" customHeight="1" x14ac:dyDescent="0.3">
      <c r="E282"/>
    </row>
    <row r="283" spans="5:5" ht="18" customHeight="1" x14ac:dyDescent="0.3">
      <c r="E283"/>
    </row>
    <row r="284" spans="5:5" ht="18" customHeight="1" x14ac:dyDescent="0.3">
      <c r="E284"/>
    </row>
    <row r="285" spans="5:5" ht="18" customHeight="1" x14ac:dyDescent="0.3">
      <c r="E285"/>
    </row>
    <row r="286" spans="5:5" ht="18" customHeight="1" x14ac:dyDescent="0.3">
      <c r="E286"/>
    </row>
    <row r="287" spans="5:5" ht="18" customHeight="1" x14ac:dyDescent="0.3">
      <c r="E287"/>
    </row>
    <row r="288" spans="5:5" ht="18" customHeight="1" x14ac:dyDescent="0.3">
      <c r="E288"/>
    </row>
    <row r="289" spans="5:5" ht="18" customHeight="1" x14ac:dyDescent="0.3">
      <c r="E289"/>
    </row>
    <row r="290" spans="5:5" ht="18" customHeight="1" x14ac:dyDescent="0.3">
      <c r="E290"/>
    </row>
    <row r="291" spans="5:5" ht="18" customHeight="1" x14ac:dyDescent="0.3">
      <c r="E291"/>
    </row>
    <row r="292" spans="5:5" ht="18" customHeight="1" x14ac:dyDescent="0.3">
      <c r="E292"/>
    </row>
    <row r="293" spans="5:5" ht="18" customHeight="1" x14ac:dyDescent="0.3">
      <c r="E293"/>
    </row>
    <row r="294" spans="5:5" ht="18" customHeight="1" x14ac:dyDescent="0.3">
      <c r="E294"/>
    </row>
    <row r="295" spans="5:5" ht="18" customHeight="1" x14ac:dyDescent="0.3">
      <c r="E295"/>
    </row>
    <row r="296" spans="5:5" ht="18" customHeight="1" x14ac:dyDescent="0.3">
      <c r="E296"/>
    </row>
    <row r="297" spans="5:5" ht="18" customHeight="1" x14ac:dyDescent="0.3">
      <c r="E297"/>
    </row>
    <row r="298" spans="5:5" ht="18" customHeight="1" x14ac:dyDescent="0.3">
      <c r="E298"/>
    </row>
    <row r="299" spans="5:5" ht="18" customHeight="1" x14ac:dyDescent="0.3">
      <c r="E299"/>
    </row>
    <row r="300" spans="5:5" ht="18" customHeight="1" x14ac:dyDescent="0.3">
      <c r="E300"/>
    </row>
    <row r="301" spans="5:5" ht="18" customHeight="1" x14ac:dyDescent="0.3">
      <c r="E301"/>
    </row>
    <row r="302" spans="5:5" ht="18" customHeight="1" x14ac:dyDescent="0.3">
      <c r="E302"/>
    </row>
    <row r="303" spans="5:5" ht="18" customHeight="1" x14ac:dyDescent="0.3">
      <c r="E303"/>
    </row>
    <row r="304" spans="5:5" ht="18" customHeight="1" x14ac:dyDescent="0.3">
      <c r="E304"/>
    </row>
    <row r="305" spans="5:5" ht="18" customHeight="1" x14ac:dyDescent="0.3">
      <c r="E305"/>
    </row>
    <row r="306" spans="5:5" ht="18" customHeight="1" x14ac:dyDescent="0.3">
      <c r="E306"/>
    </row>
    <row r="307" spans="5:5" ht="18" customHeight="1" x14ac:dyDescent="0.3">
      <c r="E307"/>
    </row>
    <row r="308" spans="5:5" ht="18" customHeight="1" x14ac:dyDescent="0.3">
      <c r="E308"/>
    </row>
    <row r="309" spans="5:5" ht="18" customHeight="1" x14ac:dyDescent="0.3">
      <c r="E309"/>
    </row>
    <row r="310" spans="5:5" ht="18" customHeight="1" x14ac:dyDescent="0.3">
      <c r="E310"/>
    </row>
    <row r="311" spans="5:5" ht="18" customHeight="1" x14ac:dyDescent="0.3">
      <c r="E311"/>
    </row>
    <row r="312" spans="5:5" ht="18" customHeight="1" x14ac:dyDescent="0.3">
      <c r="E312"/>
    </row>
    <row r="313" spans="5:5" ht="18" customHeight="1" x14ac:dyDescent="0.3">
      <c r="E313"/>
    </row>
    <row r="314" spans="5:5" ht="18" customHeight="1" x14ac:dyDescent="0.3">
      <c r="E314"/>
    </row>
    <row r="315" spans="5:5" ht="18" customHeight="1" x14ac:dyDescent="0.3">
      <c r="E315"/>
    </row>
    <row r="316" spans="5:5" ht="18" customHeight="1" x14ac:dyDescent="0.3">
      <c r="E316"/>
    </row>
    <row r="317" spans="5:5" ht="18" customHeight="1" x14ac:dyDescent="0.3">
      <c r="E317"/>
    </row>
    <row r="318" spans="5:5" ht="18" customHeight="1" x14ac:dyDescent="0.3">
      <c r="E318"/>
    </row>
    <row r="319" spans="5:5" ht="18" customHeight="1" x14ac:dyDescent="0.3">
      <c r="E319"/>
    </row>
    <row r="320" spans="5:5" ht="18" customHeight="1" x14ac:dyDescent="0.3">
      <c r="E320"/>
    </row>
    <row r="321" spans="5:5" ht="18" customHeight="1" x14ac:dyDescent="0.3">
      <c r="E321"/>
    </row>
    <row r="322" spans="5:5" ht="18" customHeight="1" x14ac:dyDescent="0.3">
      <c r="E322"/>
    </row>
    <row r="323" spans="5:5" ht="18" customHeight="1" x14ac:dyDescent="0.3">
      <c r="E323"/>
    </row>
    <row r="324" spans="5:5" ht="18" customHeight="1" x14ac:dyDescent="0.3">
      <c r="E324"/>
    </row>
    <row r="325" spans="5:5" ht="18" customHeight="1" x14ac:dyDescent="0.3">
      <c r="E325"/>
    </row>
    <row r="326" spans="5:5" ht="18" customHeight="1" x14ac:dyDescent="0.3">
      <c r="E326"/>
    </row>
    <row r="327" spans="5:5" ht="18" customHeight="1" x14ac:dyDescent="0.3">
      <c r="E327"/>
    </row>
    <row r="328" spans="5:5" ht="18" customHeight="1" x14ac:dyDescent="0.3">
      <c r="E328"/>
    </row>
    <row r="329" spans="5:5" ht="18" customHeight="1" x14ac:dyDescent="0.3">
      <c r="E329"/>
    </row>
    <row r="330" spans="5:5" ht="18" customHeight="1" x14ac:dyDescent="0.3">
      <c r="E330"/>
    </row>
    <row r="331" spans="5:5" ht="18" customHeight="1" x14ac:dyDescent="0.3">
      <c r="E331"/>
    </row>
    <row r="332" spans="5:5" ht="18" customHeight="1" x14ac:dyDescent="0.3">
      <c r="E332"/>
    </row>
    <row r="333" spans="5:5" ht="18" customHeight="1" x14ac:dyDescent="0.3">
      <c r="E333"/>
    </row>
    <row r="334" spans="5:5" ht="18" customHeight="1" x14ac:dyDescent="0.3">
      <c r="E334"/>
    </row>
    <row r="335" spans="5:5" ht="18" customHeight="1" x14ac:dyDescent="0.3">
      <c r="E335"/>
    </row>
    <row r="336" spans="5:5" ht="18" customHeight="1" x14ac:dyDescent="0.3">
      <c r="E336"/>
    </row>
    <row r="337" spans="5:5" ht="18" customHeight="1" x14ac:dyDescent="0.3">
      <c r="E337"/>
    </row>
    <row r="338" spans="5:5" ht="18" customHeight="1" x14ac:dyDescent="0.3">
      <c r="E338"/>
    </row>
    <row r="339" spans="5:5" ht="18" customHeight="1" x14ac:dyDescent="0.3">
      <c r="E339"/>
    </row>
    <row r="340" spans="5:5" ht="18" customHeight="1" x14ac:dyDescent="0.3">
      <c r="E340"/>
    </row>
    <row r="341" spans="5:5" ht="18" customHeight="1" x14ac:dyDescent="0.3">
      <c r="E341"/>
    </row>
    <row r="342" spans="5:5" ht="18" customHeight="1" x14ac:dyDescent="0.3">
      <c r="E342"/>
    </row>
    <row r="343" spans="5:5" ht="18" customHeight="1" x14ac:dyDescent="0.3">
      <c r="E343"/>
    </row>
    <row r="344" spans="5:5" ht="18" customHeight="1" x14ac:dyDescent="0.3">
      <c r="E344"/>
    </row>
    <row r="345" spans="5:5" ht="18" customHeight="1" x14ac:dyDescent="0.3">
      <c r="E345"/>
    </row>
    <row r="346" spans="5:5" ht="18" customHeight="1" x14ac:dyDescent="0.3">
      <c r="E346"/>
    </row>
    <row r="347" spans="5:5" ht="18" customHeight="1" x14ac:dyDescent="0.3">
      <c r="E347"/>
    </row>
    <row r="348" spans="5:5" ht="18" customHeight="1" x14ac:dyDescent="0.3">
      <c r="E348"/>
    </row>
    <row r="349" spans="5:5" ht="18" customHeight="1" x14ac:dyDescent="0.3">
      <c r="E349"/>
    </row>
    <row r="350" spans="5:5" ht="18" customHeight="1" x14ac:dyDescent="0.3">
      <c r="E350"/>
    </row>
    <row r="351" spans="5:5" ht="18" customHeight="1" x14ac:dyDescent="0.3">
      <c r="E351"/>
    </row>
    <row r="352" spans="5:5" ht="18" customHeight="1" x14ac:dyDescent="0.3">
      <c r="E352"/>
    </row>
    <row r="353" spans="5:5" ht="18" customHeight="1" x14ac:dyDescent="0.3">
      <c r="E353"/>
    </row>
    <row r="354" spans="5:5" ht="18" customHeight="1" x14ac:dyDescent="0.3">
      <c r="E354"/>
    </row>
    <row r="355" spans="5:5" ht="18" customHeight="1" x14ac:dyDescent="0.3">
      <c r="E355"/>
    </row>
    <row r="356" spans="5:5" ht="18" customHeight="1" x14ac:dyDescent="0.3">
      <c r="E356"/>
    </row>
    <row r="357" spans="5:5" ht="18" customHeight="1" x14ac:dyDescent="0.3">
      <c r="E357"/>
    </row>
    <row r="358" spans="5:5" ht="18" customHeight="1" x14ac:dyDescent="0.3">
      <c r="E358"/>
    </row>
    <row r="359" spans="5:5" ht="18" customHeight="1" x14ac:dyDescent="0.3">
      <c r="E359"/>
    </row>
    <row r="360" spans="5:5" ht="18" customHeight="1" x14ac:dyDescent="0.3">
      <c r="E360"/>
    </row>
    <row r="361" spans="5:5" ht="18" customHeight="1" x14ac:dyDescent="0.3">
      <c r="E361"/>
    </row>
    <row r="362" spans="5:5" ht="18" customHeight="1" x14ac:dyDescent="0.3">
      <c r="E362"/>
    </row>
    <row r="363" spans="5:5" ht="18" customHeight="1" x14ac:dyDescent="0.3">
      <c r="E363"/>
    </row>
    <row r="364" spans="5:5" ht="18" customHeight="1" x14ac:dyDescent="0.3">
      <c r="E364"/>
    </row>
    <row r="365" spans="5:5" ht="18" customHeight="1" x14ac:dyDescent="0.3">
      <c r="E365"/>
    </row>
    <row r="366" spans="5:5" ht="18" customHeight="1" x14ac:dyDescent="0.3">
      <c r="E366"/>
    </row>
    <row r="367" spans="5:5" ht="18" customHeight="1" x14ac:dyDescent="0.3">
      <c r="E367"/>
    </row>
    <row r="368" spans="5:5" ht="18" customHeight="1" x14ac:dyDescent="0.3">
      <c r="E368"/>
    </row>
    <row r="369" spans="5:5" ht="18" customHeight="1" x14ac:dyDescent="0.3">
      <c r="E369"/>
    </row>
    <row r="370" spans="5:5" ht="18" customHeight="1" x14ac:dyDescent="0.3">
      <c r="E370"/>
    </row>
    <row r="371" spans="5:5" ht="18" customHeight="1" x14ac:dyDescent="0.3">
      <c r="E371"/>
    </row>
    <row r="372" spans="5:5" ht="18" customHeight="1" x14ac:dyDescent="0.3">
      <c r="E372"/>
    </row>
    <row r="373" spans="5:5" ht="18" customHeight="1" x14ac:dyDescent="0.3">
      <c r="E373"/>
    </row>
    <row r="374" spans="5:5" ht="18" customHeight="1" x14ac:dyDescent="0.3">
      <c r="E374"/>
    </row>
    <row r="375" spans="5:5" ht="18" customHeight="1" x14ac:dyDescent="0.3">
      <c r="E375"/>
    </row>
    <row r="376" spans="5:5" ht="18" customHeight="1" x14ac:dyDescent="0.3">
      <c r="E376"/>
    </row>
    <row r="377" spans="5:5" ht="18" customHeight="1" x14ac:dyDescent="0.3">
      <c r="E377"/>
    </row>
    <row r="378" spans="5:5" ht="18" customHeight="1" x14ac:dyDescent="0.3">
      <c r="E378"/>
    </row>
    <row r="379" spans="5:5" ht="18" customHeight="1" x14ac:dyDescent="0.3">
      <c r="E379"/>
    </row>
    <row r="380" spans="5:5" ht="18" customHeight="1" x14ac:dyDescent="0.3">
      <c r="E380"/>
    </row>
    <row r="381" spans="5:5" ht="18" customHeight="1" x14ac:dyDescent="0.3">
      <c r="E381"/>
    </row>
    <row r="382" spans="5:5" ht="18" customHeight="1" x14ac:dyDescent="0.3">
      <c r="E382"/>
    </row>
    <row r="383" spans="5:5" ht="18" customHeight="1" x14ac:dyDescent="0.3">
      <c r="E383"/>
    </row>
    <row r="384" spans="5:5" ht="18" customHeight="1" x14ac:dyDescent="0.3">
      <c r="E384"/>
    </row>
    <row r="385" spans="5:5" ht="18" customHeight="1" x14ac:dyDescent="0.3">
      <c r="E385"/>
    </row>
    <row r="386" spans="5:5" ht="18" customHeight="1" x14ac:dyDescent="0.3">
      <c r="E386"/>
    </row>
    <row r="387" spans="5:5" ht="18" customHeight="1" x14ac:dyDescent="0.3">
      <c r="E387"/>
    </row>
    <row r="388" spans="5:5" ht="18" customHeight="1" x14ac:dyDescent="0.3">
      <c r="E388"/>
    </row>
    <row r="389" spans="5:5" ht="18" customHeight="1" x14ac:dyDescent="0.3">
      <c r="E389"/>
    </row>
    <row r="390" spans="5:5" ht="18" customHeight="1" x14ac:dyDescent="0.3">
      <c r="E390"/>
    </row>
    <row r="391" spans="5:5" ht="18" customHeight="1" x14ac:dyDescent="0.3">
      <c r="E391"/>
    </row>
    <row r="392" spans="5:5" ht="18" customHeight="1" x14ac:dyDescent="0.3">
      <c r="E392"/>
    </row>
    <row r="393" spans="5:5" ht="18" customHeight="1" x14ac:dyDescent="0.3">
      <c r="E393"/>
    </row>
    <row r="394" spans="5:5" ht="18" customHeight="1" x14ac:dyDescent="0.3">
      <c r="E394"/>
    </row>
    <row r="395" spans="5:5" ht="18" customHeight="1" x14ac:dyDescent="0.3">
      <c r="E395"/>
    </row>
    <row r="396" spans="5:5" ht="18" customHeight="1" x14ac:dyDescent="0.3">
      <c r="E396"/>
    </row>
    <row r="397" spans="5:5" ht="18" customHeight="1" x14ac:dyDescent="0.3">
      <c r="E397"/>
    </row>
    <row r="398" spans="5:5" ht="18" customHeight="1" x14ac:dyDescent="0.3">
      <c r="E398"/>
    </row>
    <row r="399" spans="5:5" ht="18" customHeight="1" x14ac:dyDescent="0.3">
      <c r="E399"/>
    </row>
    <row r="400" spans="5:5" ht="18" customHeight="1" x14ac:dyDescent="0.3">
      <c r="E400"/>
    </row>
    <row r="401" spans="5:5" ht="18" customHeight="1" x14ac:dyDescent="0.3">
      <c r="E401"/>
    </row>
    <row r="402" spans="5:5" ht="18" customHeight="1" x14ac:dyDescent="0.3">
      <c r="E402"/>
    </row>
    <row r="403" spans="5:5" ht="18" customHeight="1" x14ac:dyDescent="0.3">
      <c r="E403"/>
    </row>
    <row r="404" spans="5:5" ht="18" customHeight="1" x14ac:dyDescent="0.3">
      <c r="E404"/>
    </row>
    <row r="405" spans="5:5" ht="18" customHeight="1" x14ac:dyDescent="0.3">
      <c r="E405"/>
    </row>
    <row r="406" spans="5:5" ht="18" customHeight="1" x14ac:dyDescent="0.3">
      <c r="E406"/>
    </row>
    <row r="407" spans="5:5" ht="18" customHeight="1" x14ac:dyDescent="0.3">
      <c r="E407"/>
    </row>
    <row r="408" spans="5:5" ht="18" customHeight="1" x14ac:dyDescent="0.3">
      <c r="E408"/>
    </row>
    <row r="409" spans="5:5" ht="18" customHeight="1" x14ac:dyDescent="0.3">
      <c r="E409"/>
    </row>
    <row r="410" spans="5:5" ht="18" customHeight="1" x14ac:dyDescent="0.3">
      <c r="E410"/>
    </row>
    <row r="411" spans="5:5" ht="18" customHeight="1" x14ac:dyDescent="0.3">
      <c r="E411"/>
    </row>
    <row r="412" spans="5:5" ht="18" customHeight="1" x14ac:dyDescent="0.3">
      <c r="E412"/>
    </row>
    <row r="413" spans="5:5" ht="18" customHeight="1" x14ac:dyDescent="0.3">
      <c r="E413"/>
    </row>
    <row r="414" spans="5:5" ht="18" customHeight="1" x14ac:dyDescent="0.3">
      <c r="E414"/>
    </row>
    <row r="415" spans="5:5" ht="18" customHeight="1" x14ac:dyDescent="0.3">
      <c r="E415"/>
    </row>
    <row r="416" spans="5:5" ht="18" customHeight="1" x14ac:dyDescent="0.3">
      <c r="E416"/>
    </row>
    <row r="417" spans="5:5" ht="18" customHeight="1" x14ac:dyDescent="0.3">
      <c r="E417"/>
    </row>
    <row r="418" spans="5:5" ht="18" customHeight="1" x14ac:dyDescent="0.3">
      <c r="E418"/>
    </row>
    <row r="419" spans="5:5" ht="18" customHeight="1" x14ac:dyDescent="0.3">
      <c r="E419"/>
    </row>
    <row r="420" spans="5:5" ht="18" customHeight="1" x14ac:dyDescent="0.3">
      <c r="E420"/>
    </row>
    <row r="421" spans="5:5" ht="18" customHeight="1" x14ac:dyDescent="0.3">
      <c r="E421"/>
    </row>
    <row r="422" spans="5:5" ht="18" customHeight="1" x14ac:dyDescent="0.3">
      <c r="E422"/>
    </row>
    <row r="423" spans="5:5" ht="18" customHeight="1" x14ac:dyDescent="0.3">
      <c r="E423"/>
    </row>
    <row r="424" spans="5:5" ht="18" customHeight="1" x14ac:dyDescent="0.3">
      <c r="E424"/>
    </row>
    <row r="425" spans="5:5" ht="18" customHeight="1" x14ac:dyDescent="0.3">
      <c r="E425"/>
    </row>
    <row r="426" spans="5:5" ht="18" customHeight="1" x14ac:dyDescent="0.3">
      <c r="E426"/>
    </row>
    <row r="427" spans="5:5" ht="18" customHeight="1" x14ac:dyDescent="0.3">
      <c r="E427"/>
    </row>
    <row r="428" spans="5:5" ht="18" customHeight="1" x14ac:dyDescent="0.3">
      <c r="E428"/>
    </row>
    <row r="429" spans="5:5" ht="18" customHeight="1" x14ac:dyDescent="0.3">
      <c r="E429"/>
    </row>
    <row r="430" spans="5:5" ht="18" customHeight="1" x14ac:dyDescent="0.3">
      <c r="E430"/>
    </row>
    <row r="431" spans="5:5" ht="18" customHeight="1" x14ac:dyDescent="0.3">
      <c r="E431"/>
    </row>
    <row r="432" spans="5:5" ht="18" customHeight="1" x14ac:dyDescent="0.3">
      <c r="E432"/>
    </row>
    <row r="433" spans="5:5" ht="18" customHeight="1" x14ac:dyDescent="0.3">
      <c r="E433"/>
    </row>
    <row r="434" spans="5:5" ht="18" customHeight="1" x14ac:dyDescent="0.3">
      <c r="E434"/>
    </row>
    <row r="435" spans="5:5" ht="18" customHeight="1" x14ac:dyDescent="0.3">
      <c r="E435"/>
    </row>
    <row r="436" spans="5:5" ht="18" customHeight="1" x14ac:dyDescent="0.3">
      <c r="E436"/>
    </row>
    <row r="437" spans="5:5" ht="18" customHeight="1" x14ac:dyDescent="0.3">
      <c r="E437"/>
    </row>
    <row r="438" spans="5:5" ht="18" customHeight="1" x14ac:dyDescent="0.3">
      <c r="E438"/>
    </row>
    <row r="439" spans="5:5" ht="18" customHeight="1" x14ac:dyDescent="0.3">
      <c r="E439"/>
    </row>
    <row r="440" spans="5:5" ht="18" customHeight="1" x14ac:dyDescent="0.3">
      <c r="E440"/>
    </row>
    <row r="441" spans="5:5" ht="18" customHeight="1" x14ac:dyDescent="0.3">
      <c r="E441"/>
    </row>
    <row r="442" spans="5:5" ht="18" customHeight="1" x14ac:dyDescent="0.3">
      <c r="E442"/>
    </row>
    <row r="443" spans="5:5" ht="18" customHeight="1" x14ac:dyDescent="0.3">
      <c r="E443"/>
    </row>
    <row r="444" spans="5:5" ht="18" customHeight="1" x14ac:dyDescent="0.3">
      <c r="E444"/>
    </row>
    <row r="445" spans="5:5" ht="18" customHeight="1" x14ac:dyDescent="0.3">
      <c r="E445"/>
    </row>
    <row r="446" spans="5:5" ht="18" customHeight="1" x14ac:dyDescent="0.3">
      <c r="E446"/>
    </row>
    <row r="447" spans="5:5" ht="18" customHeight="1" x14ac:dyDescent="0.3">
      <c r="E447"/>
    </row>
    <row r="448" spans="5:5" ht="18" customHeight="1" x14ac:dyDescent="0.3">
      <c r="E448"/>
    </row>
    <row r="449" spans="5:5" ht="18" customHeight="1" x14ac:dyDescent="0.3">
      <c r="E449"/>
    </row>
    <row r="450" spans="5:5" ht="18" customHeight="1" x14ac:dyDescent="0.3">
      <c r="E450"/>
    </row>
    <row r="451" spans="5:5" ht="18" customHeight="1" x14ac:dyDescent="0.3">
      <c r="E451"/>
    </row>
    <row r="452" spans="5:5" ht="18" customHeight="1" x14ac:dyDescent="0.3">
      <c r="E452"/>
    </row>
    <row r="453" spans="5:5" ht="18" customHeight="1" x14ac:dyDescent="0.3">
      <c r="E453"/>
    </row>
    <row r="454" spans="5:5" ht="18" customHeight="1" x14ac:dyDescent="0.3">
      <c r="E454"/>
    </row>
    <row r="455" spans="5:5" ht="18" customHeight="1" x14ac:dyDescent="0.3">
      <c r="E455"/>
    </row>
    <row r="456" spans="5:5" ht="18" customHeight="1" x14ac:dyDescent="0.3">
      <c r="E456"/>
    </row>
    <row r="457" spans="5:5" ht="18" customHeight="1" x14ac:dyDescent="0.3">
      <c r="E457"/>
    </row>
    <row r="458" spans="5:5" ht="18" customHeight="1" x14ac:dyDescent="0.3">
      <c r="E458"/>
    </row>
    <row r="459" spans="5:5" ht="18" customHeight="1" x14ac:dyDescent="0.3">
      <c r="E459"/>
    </row>
    <row r="460" spans="5:5" ht="18" customHeight="1" x14ac:dyDescent="0.3">
      <c r="E460"/>
    </row>
    <row r="461" spans="5:5" ht="18" customHeight="1" x14ac:dyDescent="0.3">
      <c r="E461"/>
    </row>
    <row r="462" spans="5:5" ht="18" customHeight="1" x14ac:dyDescent="0.3">
      <c r="E462"/>
    </row>
    <row r="463" spans="5:5" ht="18" customHeight="1" x14ac:dyDescent="0.3">
      <c r="E463"/>
    </row>
    <row r="464" spans="5:5" ht="18" customHeight="1" x14ac:dyDescent="0.3">
      <c r="E464"/>
    </row>
    <row r="465" spans="5:5" ht="18" customHeight="1" x14ac:dyDescent="0.3">
      <c r="E465"/>
    </row>
    <row r="466" spans="5:5" ht="18" customHeight="1" x14ac:dyDescent="0.3">
      <c r="E466"/>
    </row>
    <row r="467" spans="5:5" ht="18" customHeight="1" x14ac:dyDescent="0.3">
      <c r="E467"/>
    </row>
    <row r="468" spans="5:5" ht="18" customHeight="1" x14ac:dyDescent="0.3">
      <c r="E468"/>
    </row>
    <row r="469" spans="5:5" ht="18" customHeight="1" x14ac:dyDescent="0.3">
      <c r="E469"/>
    </row>
    <row r="470" spans="5:5" ht="18" customHeight="1" x14ac:dyDescent="0.3">
      <c r="E470"/>
    </row>
    <row r="471" spans="5:5" ht="18" customHeight="1" x14ac:dyDescent="0.3">
      <c r="E471"/>
    </row>
    <row r="472" spans="5:5" ht="18" customHeight="1" x14ac:dyDescent="0.3">
      <c r="E472"/>
    </row>
    <row r="473" spans="5:5" ht="18" customHeight="1" x14ac:dyDescent="0.3">
      <c r="E473"/>
    </row>
    <row r="474" spans="5:5" ht="18" customHeight="1" x14ac:dyDescent="0.3">
      <c r="E474"/>
    </row>
    <row r="475" spans="5:5" ht="18" customHeight="1" x14ac:dyDescent="0.3">
      <c r="E475"/>
    </row>
    <row r="476" spans="5:5" ht="18" customHeight="1" x14ac:dyDescent="0.3">
      <c r="E476"/>
    </row>
    <row r="477" spans="5:5" ht="18" customHeight="1" x14ac:dyDescent="0.3">
      <c r="E477"/>
    </row>
    <row r="478" spans="5:5" ht="18" customHeight="1" x14ac:dyDescent="0.3">
      <c r="E478"/>
    </row>
    <row r="479" spans="5:5" ht="18" customHeight="1" x14ac:dyDescent="0.3">
      <c r="E479"/>
    </row>
    <row r="480" spans="5:5" ht="18" customHeight="1" x14ac:dyDescent="0.3">
      <c r="E480"/>
    </row>
    <row r="481" spans="5:5" ht="18" customHeight="1" x14ac:dyDescent="0.3">
      <c r="E481"/>
    </row>
    <row r="482" spans="5:5" ht="18" customHeight="1" x14ac:dyDescent="0.3">
      <c r="E482"/>
    </row>
    <row r="483" spans="5:5" ht="18" customHeight="1" x14ac:dyDescent="0.3">
      <c r="E483"/>
    </row>
    <row r="484" spans="5:5" ht="18" customHeight="1" x14ac:dyDescent="0.3">
      <c r="E484"/>
    </row>
    <row r="485" spans="5:5" ht="18" customHeight="1" x14ac:dyDescent="0.3">
      <c r="E485"/>
    </row>
    <row r="486" spans="5:5" ht="18" customHeight="1" x14ac:dyDescent="0.3">
      <c r="E486"/>
    </row>
    <row r="487" spans="5:5" ht="18" customHeight="1" x14ac:dyDescent="0.3">
      <c r="E487"/>
    </row>
    <row r="488" spans="5:5" ht="18" customHeight="1" x14ac:dyDescent="0.3">
      <c r="E488"/>
    </row>
    <row r="489" spans="5:5" ht="18" customHeight="1" x14ac:dyDescent="0.3">
      <c r="E489"/>
    </row>
    <row r="490" spans="5:5" ht="18" customHeight="1" x14ac:dyDescent="0.3">
      <c r="E490"/>
    </row>
    <row r="491" spans="5:5" ht="18" customHeight="1" x14ac:dyDescent="0.3">
      <c r="E491"/>
    </row>
    <row r="492" spans="5:5" ht="18" customHeight="1" x14ac:dyDescent="0.3">
      <c r="E492"/>
    </row>
    <row r="493" spans="5:5" ht="18" customHeight="1" x14ac:dyDescent="0.3">
      <c r="E493"/>
    </row>
    <row r="494" spans="5:5" ht="18" customHeight="1" x14ac:dyDescent="0.3">
      <c r="E494"/>
    </row>
    <row r="495" spans="5:5" ht="18" customHeight="1" x14ac:dyDescent="0.3">
      <c r="E495"/>
    </row>
    <row r="496" spans="5:5" ht="18" customHeight="1" x14ac:dyDescent="0.3">
      <c r="E496"/>
    </row>
    <row r="497" spans="5:5" ht="18" customHeight="1" x14ac:dyDescent="0.3">
      <c r="E497"/>
    </row>
    <row r="498" spans="5:5" ht="18" customHeight="1" x14ac:dyDescent="0.3">
      <c r="E498"/>
    </row>
    <row r="499" spans="5:5" ht="18" customHeight="1" x14ac:dyDescent="0.3">
      <c r="E499"/>
    </row>
    <row r="500" spans="5:5" ht="18" customHeight="1" x14ac:dyDescent="0.3">
      <c r="E500"/>
    </row>
    <row r="501" spans="5:5" ht="18" customHeight="1" x14ac:dyDescent="0.3">
      <c r="E501"/>
    </row>
    <row r="502" spans="5:5" ht="18" customHeight="1" x14ac:dyDescent="0.3">
      <c r="E502"/>
    </row>
    <row r="503" spans="5:5" ht="18" customHeight="1" x14ac:dyDescent="0.3">
      <c r="E503"/>
    </row>
    <row r="504" spans="5:5" ht="18" customHeight="1" x14ac:dyDescent="0.3">
      <c r="E504"/>
    </row>
    <row r="505" spans="5:5" ht="18" customHeight="1" x14ac:dyDescent="0.3">
      <c r="E505"/>
    </row>
    <row r="506" spans="5:5" ht="18" customHeight="1" x14ac:dyDescent="0.3">
      <c r="E506"/>
    </row>
    <row r="507" spans="5:5" ht="18" customHeight="1" x14ac:dyDescent="0.3">
      <c r="E507"/>
    </row>
    <row r="508" spans="5:5" ht="18" customHeight="1" x14ac:dyDescent="0.3">
      <c r="E508"/>
    </row>
    <row r="509" spans="5:5" ht="18" customHeight="1" x14ac:dyDescent="0.3">
      <c r="E509"/>
    </row>
    <row r="510" spans="5:5" ht="18" customHeight="1" x14ac:dyDescent="0.3">
      <c r="E510"/>
    </row>
    <row r="511" spans="5:5" ht="18" customHeight="1" x14ac:dyDescent="0.3">
      <c r="E511"/>
    </row>
    <row r="512" spans="5:5" ht="18" customHeight="1" x14ac:dyDescent="0.3">
      <c r="E512"/>
    </row>
    <row r="513" spans="5:5" ht="18" customHeight="1" x14ac:dyDescent="0.3">
      <c r="E513"/>
    </row>
    <row r="514" spans="5:5" ht="18" customHeight="1" x14ac:dyDescent="0.3">
      <c r="E514"/>
    </row>
    <row r="515" spans="5:5" ht="18" customHeight="1" x14ac:dyDescent="0.3">
      <c r="E515"/>
    </row>
    <row r="516" spans="5:5" ht="18" customHeight="1" x14ac:dyDescent="0.3">
      <c r="E516"/>
    </row>
    <row r="517" spans="5:5" ht="18" customHeight="1" x14ac:dyDescent="0.3">
      <c r="E517"/>
    </row>
    <row r="518" spans="5:5" ht="18" customHeight="1" x14ac:dyDescent="0.3">
      <c r="E518"/>
    </row>
    <row r="519" spans="5:5" ht="18" customHeight="1" x14ac:dyDescent="0.3">
      <c r="E519"/>
    </row>
    <row r="520" spans="5:5" ht="18" customHeight="1" x14ac:dyDescent="0.3">
      <c r="E520"/>
    </row>
    <row r="521" spans="5:5" ht="18" customHeight="1" x14ac:dyDescent="0.3">
      <c r="E521"/>
    </row>
    <row r="522" spans="5:5" ht="18" customHeight="1" x14ac:dyDescent="0.3">
      <c r="E522"/>
    </row>
    <row r="523" spans="5:5" ht="18" customHeight="1" x14ac:dyDescent="0.3">
      <c r="E523"/>
    </row>
    <row r="524" spans="5:5" ht="18" customHeight="1" x14ac:dyDescent="0.3">
      <c r="E524"/>
    </row>
    <row r="525" spans="5:5" ht="18" customHeight="1" x14ac:dyDescent="0.3">
      <c r="E525"/>
    </row>
    <row r="526" spans="5:5" ht="18" customHeight="1" x14ac:dyDescent="0.3">
      <c r="E526"/>
    </row>
    <row r="527" spans="5:5" ht="18" customHeight="1" x14ac:dyDescent="0.3">
      <c r="E527"/>
    </row>
    <row r="528" spans="5:5" ht="18" customHeight="1" x14ac:dyDescent="0.3">
      <c r="E528"/>
    </row>
    <row r="529" spans="5:5" ht="18" customHeight="1" x14ac:dyDescent="0.3">
      <c r="E529"/>
    </row>
    <row r="530" spans="5:5" ht="18" customHeight="1" x14ac:dyDescent="0.3">
      <c r="E530"/>
    </row>
    <row r="531" spans="5:5" ht="18" customHeight="1" x14ac:dyDescent="0.3">
      <c r="E531"/>
    </row>
    <row r="532" spans="5:5" ht="18" customHeight="1" x14ac:dyDescent="0.3">
      <c r="E532"/>
    </row>
    <row r="533" spans="5:5" ht="18" customHeight="1" x14ac:dyDescent="0.3">
      <c r="E533"/>
    </row>
    <row r="534" spans="5:5" ht="18" customHeight="1" x14ac:dyDescent="0.3">
      <c r="E534"/>
    </row>
    <row r="535" spans="5:5" ht="18" customHeight="1" x14ac:dyDescent="0.3">
      <c r="E535"/>
    </row>
    <row r="536" spans="5:5" ht="18" customHeight="1" x14ac:dyDescent="0.3">
      <c r="E536"/>
    </row>
    <row r="537" spans="5:5" ht="18" customHeight="1" x14ac:dyDescent="0.3">
      <c r="E537"/>
    </row>
    <row r="538" spans="5:5" ht="18" customHeight="1" x14ac:dyDescent="0.3">
      <c r="E538"/>
    </row>
    <row r="539" spans="5:5" ht="18" customHeight="1" x14ac:dyDescent="0.3">
      <c r="E539"/>
    </row>
    <row r="540" spans="5:5" ht="18" customHeight="1" x14ac:dyDescent="0.3">
      <c r="E540"/>
    </row>
    <row r="541" spans="5:5" ht="18" customHeight="1" x14ac:dyDescent="0.3">
      <c r="E541"/>
    </row>
    <row r="542" spans="5:5" ht="18" customHeight="1" x14ac:dyDescent="0.3">
      <c r="E542"/>
    </row>
    <row r="543" spans="5:5" ht="18" customHeight="1" x14ac:dyDescent="0.3">
      <c r="E543"/>
    </row>
    <row r="544" spans="5:5" ht="18" customHeight="1" x14ac:dyDescent="0.3">
      <c r="E544"/>
    </row>
    <row r="545" spans="5:5" ht="18" customHeight="1" x14ac:dyDescent="0.3">
      <c r="E545"/>
    </row>
    <row r="546" spans="5:5" ht="18" customHeight="1" x14ac:dyDescent="0.3">
      <c r="E546"/>
    </row>
    <row r="547" spans="5:5" ht="18" customHeight="1" x14ac:dyDescent="0.3">
      <c r="E547"/>
    </row>
    <row r="548" spans="5:5" ht="18" customHeight="1" x14ac:dyDescent="0.3">
      <c r="E548"/>
    </row>
    <row r="549" spans="5:5" ht="18" customHeight="1" x14ac:dyDescent="0.3">
      <c r="E549"/>
    </row>
    <row r="550" spans="5:5" ht="18" customHeight="1" x14ac:dyDescent="0.3">
      <c r="E550"/>
    </row>
    <row r="551" spans="5:5" ht="18" customHeight="1" x14ac:dyDescent="0.3">
      <c r="E551"/>
    </row>
    <row r="552" spans="5:5" ht="18" customHeight="1" x14ac:dyDescent="0.3">
      <c r="E552"/>
    </row>
    <row r="553" spans="5:5" ht="18" customHeight="1" x14ac:dyDescent="0.3">
      <c r="E553"/>
    </row>
    <row r="554" spans="5:5" ht="18" customHeight="1" x14ac:dyDescent="0.3">
      <c r="E554"/>
    </row>
    <row r="555" spans="5:5" ht="18" customHeight="1" x14ac:dyDescent="0.3">
      <c r="E555"/>
    </row>
    <row r="556" spans="5:5" ht="18" customHeight="1" x14ac:dyDescent="0.3">
      <c r="E556"/>
    </row>
    <row r="557" spans="5:5" ht="18" customHeight="1" x14ac:dyDescent="0.3">
      <c r="E557"/>
    </row>
    <row r="558" spans="5:5" ht="18" customHeight="1" x14ac:dyDescent="0.3">
      <c r="E558"/>
    </row>
    <row r="559" spans="5:5" ht="18" customHeight="1" x14ac:dyDescent="0.3">
      <c r="E559"/>
    </row>
    <row r="560" spans="5:5" ht="18" customHeight="1" x14ac:dyDescent="0.3">
      <c r="E560"/>
    </row>
    <row r="561" spans="5:5" ht="18" customHeight="1" x14ac:dyDescent="0.3">
      <c r="E561"/>
    </row>
    <row r="562" spans="5:5" ht="18" customHeight="1" x14ac:dyDescent="0.3">
      <c r="E562"/>
    </row>
    <row r="563" spans="5:5" ht="18" customHeight="1" x14ac:dyDescent="0.3">
      <c r="E563"/>
    </row>
    <row r="564" spans="5:5" ht="18" customHeight="1" x14ac:dyDescent="0.3">
      <c r="E564"/>
    </row>
    <row r="565" spans="5:5" ht="18" customHeight="1" x14ac:dyDescent="0.3">
      <c r="E565"/>
    </row>
    <row r="566" spans="5:5" ht="18" customHeight="1" x14ac:dyDescent="0.3">
      <c r="E566"/>
    </row>
    <row r="567" spans="5:5" ht="18" customHeight="1" x14ac:dyDescent="0.3">
      <c r="E567"/>
    </row>
    <row r="568" spans="5:5" ht="18" customHeight="1" x14ac:dyDescent="0.3">
      <c r="E568"/>
    </row>
    <row r="569" spans="5:5" ht="18" customHeight="1" x14ac:dyDescent="0.3">
      <c r="E569"/>
    </row>
    <row r="570" spans="5:5" ht="18" customHeight="1" x14ac:dyDescent="0.3">
      <c r="E570"/>
    </row>
    <row r="571" spans="5:5" ht="18" customHeight="1" x14ac:dyDescent="0.3">
      <c r="E571"/>
    </row>
    <row r="572" spans="5:5" ht="18" customHeight="1" x14ac:dyDescent="0.3">
      <c r="E572"/>
    </row>
    <row r="573" spans="5:5" ht="18" customHeight="1" x14ac:dyDescent="0.3">
      <c r="E573"/>
    </row>
    <row r="574" spans="5:5" ht="18" customHeight="1" x14ac:dyDescent="0.3">
      <c r="E574"/>
    </row>
    <row r="575" spans="5:5" ht="18" customHeight="1" x14ac:dyDescent="0.3">
      <c r="E575"/>
    </row>
    <row r="576" spans="5:5" ht="18" customHeight="1" x14ac:dyDescent="0.3">
      <c r="E576"/>
    </row>
    <row r="577" spans="5:5" ht="18" customHeight="1" x14ac:dyDescent="0.3">
      <c r="E577"/>
    </row>
    <row r="578" spans="5:5" ht="18" customHeight="1" x14ac:dyDescent="0.3">
      <c r="E578"/>
    </row>
    <row r="579" spans="5:5" ht="18" customHeight="1" x14ac:dyDescent="0.3">
      <c r="E579"/>
    </row>
    <row r="580" spans="5:5" ht="18" customHeight="1" x14ac:dyDescent="0.3">
      <c r="E580"/>
    </row>
    <row r="581" spans="5:5" ht="18" customHeight="1" x14ac:dyDescent="0.3">
      <c r="E581"/>
    </row>
    <row r="582" spans="5:5" ht="18" customHeight="1" x14ac:dyDescent="0.3">
      <c r="E582"/>
    </row>
    <row r="583" spans="5:5" ht="18" customHeight="1" x14ac:dyDescent="0.3">
      <c r="E583"/>
    </row>
    <row r="584" spans="5:5" ht="18" customHeight="1" x14ac:dyDescent="0.3">
      <c r="E584"/>
    </row>
    <row r="585" spans="5:5" ht="18" customHeight="1" x14ac:dyDescent="0.3">
      <c r="E585"/>
    </row>
    <row r="586" spans="5:5" ht="18" customHeight="1" x14ac:dyDescent="0.3">
      <c r="E586"/>
    </row>
    <row r="587" spans="5:5" ht="18" customHeight="1" x14ac:dyDescent="0.3">
      <c r="E587"/>
    </row>
    <row r="588" spans="5:5" ht="18" customHeight="1" x14ac:dyDescent="0.3">
      <c r="E588"/>
    </row>
    <row r="589" spans="5:5" ht="18" customHeight="1" x14ac:dyDescent="0.3">
      <c r="E589"/>
    </row>
    <row r="590" spans="5:5" ht="18" customHeight="1" x14ac:dyDescent="0.3">
      <c r="E590"/>
    </row>
    <row r="591" spans="5:5" ht="18" customHeight="1" x14ac:dyDescent="0.3">
      <c r="E591"/>
    </row>
    <row r="592" spans="5:5" ht="18" customHeight="1" x14ac:dyDescent="0.3">
      <c r="E592"/>
    </row>
    <row r="593" spans="5:5" ht="18" customHeight="1" x14ac:dyDescent="0.3">
      <c r="E593"/>
    </row>
    <row r="594" spans="5:5" ht="18" customHeight="1" x14ac:dyDescent="0.3">
      <c r="E594"/>
    </row>
    <row r="595" spans="5:5" ht="18" customHeight="1" x14ac:dyDescent="0.3">
      <c r="E595"/>
    </row>
    <row r="596" spans="5:5" ht="18" customHeight="1" x14ac:dyDescent="0.3">
      <c r="E596"/>
    </row>
    <row r="597" spans="5:5" ht="18" customHeight="1" x14ac:dyDescent="0.3">
      <c r="E597"/>
    </row>
    <row r="598" spans="5:5" ht="18" customHeight="1" x14ac:dyDescent="0.3">
      <c r="E598"/>
    </row>
    <row r="599" spans="5:5" ht="18" customHeight="1" x14ac:dyDescent="0.3">
      <c r="E599"/>
    </row>
    <row r="600" spans="5:5" ht="18" customHeight="1" x14ac:dyDescent="0.3">
      <c r="E600"/>
    </row>
    <row r="601" spans="5:5" ht="18" customHeight="1" x14ac:dyDescent="0.3">
      <c r="E601"/>
    </row>
    <row r="602" spans="5:5" ht="18" customHeight="1" x14ac:dyDescent="0.3">
      <c r="E602"/>
    </row>
    <row r="603" spans="5:5" ht="18" customHeight="1" x14ac:dyDescent="0.3">
      <c r="E603"/>
    </row>
    <row r="604" spans="5:5" ht="18" customHeight="1" x14ac:dyDescent="0.3">
      <c r="E604"/>
    </row>
    <row r="605" spans="5:5" ht="18" customHeight="1" x14ac:dyDescent="0.3">
      <c r="E605"/>
    </row>
    <row r="606" spans="5:5" ht="18" customHeight="1" x14ac:dyDescent="0.3">
      <c r="E606"/>
    </row>
    <row r="607" spans="5:5" ht="18" customHeight="1" x14ac:dyDescent="0.3">
      <c r="E607"/>
    </row>
    <row r="608" spans="5:5" ht="18" customHeight="1" x14ac:dyDescent="0.3">
      <c r="E608"/>
    </row>
    <row r="609" spans="5:5" ht="18" customHeight="1" x14ac:dyDescent="0.3">
      <c r="E609"/>
    </row>
    <row r="610" spans="5:5" ht="18" customHeight="1" x14ac:dyDescent="0.3">
      <c r="E610"/>
    </row>
    <row r="611" spans="5:5" ht="18" customHeight="1" x14ac:dyDescent="0.3">
      <c r="E611"/>
    </row>
    <row r="612" spans="5:5" ht="18" customHeight="1" x14ac:dyDescent="0.3">
      <c r="E612"/>
    </row>
    <row r="613" spans="5:5" ht="18" customHeight="1" x14ac:dyDescent="0.3">
      <c r="E613"/>
    </row>
    <row r="614" spans="5:5" ht="18" customHeight="1" x14ac:dyDescent="0.3">
      <c r="E614"/>
    </row>
    <row r="615" spans="5:5" ht="18" customHeight="1" x14ac:dyDescent="0.3">
      <c r="E615"/>
    </row>
    <row r="616" spans="5:5" ht="18" customHeight="1" x14ac:dyDescent="0.3">
      <c r="E616"/>
    </row>
    <row r="617" spans="5:5" ht="18" customHeight="1" x14ac:dyDescent="0.3">
      <c r="E617"/>
    </row>
    <row r="618" spans="5:5" ht="18" customHeight="1" x14ac:dyDescent="0.3">
      <c r="E618"/>
    </row>
    <row r="619" spans="5:5" ht="18" customHeight="1" x14ac:dyDescent="0.3">
      <c r="E619"/>
    </row>
    <row r="620" spans="5:5" ht="18" customHeight="1" x14ac:dyDescent="0.3">
      <c r="E620"/>
    </row>
    <row r="621" spans="5:5" ht="18" customHeight="1" x14ac:dyDescent="0.3">
      <c r="E621"/>
    </row>
    <row r="622" spans="5:5" ht="18" customHeight="1" x14ac:dyDescent="0.3">
      <c r="E622"/>
    </row>
    <row r="623" spans="5:5" ht="18" customHeight="1" x14ac:dyDescent="0.3">
      <c r="E623"/>
    </row>
    <row r="624" spans="5:5" ht="18" customHeight="1" x14ac:dyDescent="0.3">
      <c r="E624"/>
    </row>
    <row r="625" spans="5:5" ht="18" customHeight="1" x14ac:dyDescent="0.3">
      <c r="E625"/>
    </row>
    <row r="626" spans="5:5" ht="18" customHeight="1" x14ac:dyDescent="0.3">
      <c r="E626"/>
    </row>
    <row r="627" spans="5:5" ht="18" customHeight="1" x14ac:dyDescent="0.3">
      <c r="E627"/>
    </row>
    <row r="628" spans="5:5" ht="18" customHeight="1" x14ac:dyDescent="0.3">
      <c r="E628"/>
    </row>
    <row r="629" spans="5:5" ht="18" customHeight="1" x14ac:dyDescent="0.3">
      <c r="E629"/>
    </row>
    <row r="630" spans="5:5" ht="18" customHeight="1" x14ac:dyDescent="0.3">
      <c r="E630"/>
    </row>
    <row r="631" spans="5:5" ht="18" customHeight="1" x14ac:dyDescent="0.3">
      <c r="E631"/>
    </row>
    <row r="632" spans="5:5" ht="18" customHeight="1" x14ac:dyDescent="0.3">
      <c r="E632"/>
    </row>
    <row r="633" spans="5:5" ht="18" customHeight="1" x14ac:dyDescent="0.3">
      <c r="E633"/>
    </row>
    <row r="634" spans="5:5" ht="18" customHeight="1" x14ac:dyDescent="0.3">
      <c r="E634"/>
    </row>
    <row r="635" spans="5:5" ht="18" customHeight="1" x14ac:dyDescent="0.3">
      <c r="E635"/>
    </row>
    <row r="636" spans="5:5" ht="18" customHeight="1" x14ac:dyDescent="0.3">
      <c r="E636"/>
    </row>
    <row r="637" spans="5:5" ht="18" customHeight="1" x14ac:dyDescent="0.3">
      <c r="E637"/>
    </row>
    <row r="638" spans="5:5" ht="18" customHeight="1" x14ac:dyDescent="0.3">
      <c r="E638"/>
    </row>
    <row r="639" spans="5:5" ht="18" customHeight="1" x14ac:dyDescent="0.3">
      <c r="E639"/>
    </row>
    <row r="640" spans="5:5" ht="18" customHeight="1" x14ac:dyDescent="0.3">
      <c r="E640"/>
    </row>
    <row r="641" spans="5:5" ht="18" customHeight="1" x14ac:dyDescent="0.3">
      <c r="E641"/>
    </row>
    <row r="642" spans="5:5" ht="18" customHeight="1" x14ac:dyDescent="0.3">
      <c r="E642"/>
    </row>
    <row r="643" spans="5:5" ht="18" customHeight="1" x14ac:dyDescent="0.3">
      <c r="E643"/>
    </row>
    <row r="644" spans="5:5" ht="18" customHeight="1" x14ac:dyDescent="0.3">
      <c r="E644"/>
    </row>
    <row r="645" spans="5:5" ht="18" customHeight="1" x14ac:dyDescent="0.3">
      <c r="E645"/>
    </row>
    <row r="646" spans="5:5" ht="18" customHeight="1" x14ac:dyDescent="0.3">
      <c r="E646"/>
    </row>
    <row r="647" spans="5:5" ht="18" customHeight="1" x14ac:dyDescent="0.3">
      <c r="E647"/>
    </row>
    <row r="648" spans="5:5" ht="18" customHeight="1" x14ac:dyDescent="0.3">
      <c r="E648"/>
    </row>
    <row r="649" spans="5:5" ht="18" customHeight="1" x14ac:dyDescent="0.3">
      <c r="E649"/>
    </row>
    <row r="650" spans="5:5" ht="18" customHeight="1" x14ac:dyDescent="0.3">
      <c r="E650"/>
    </row>
    <row r="651" spans="5:5" ht="18" customHeight="1" x14ac:dyDescent="0.3">
      <c r="E651"/>
    </row>
    <row r="652" spans="5:5" ht="18" customHeight="1" x14ac:dyDescent="0.3">
      <c r="E652"/>
    </row>
    <row r="653" spans="5:5" ht="18" customHeight="1" x14ac:dyDescent="0.3">
      <c r="E653"/>
    </row>
    <row r="654" spans="5:5" ht="18" customHeight="1" x14ac:dyDescent="0.3">
      <c r="E654"/>
    </row>
    <row r="655" spans="5:5" ht="18" customHeight="1" x14ac:dyDescent="0.3">
      <c r="E655"/>
    </row>
    <row r="656" spans="5:5" ht="18" customHeight="1" x14ac:dyDescent="0.3">
      <c r="E656"/>
    </row>
    <row r="657" spans="5:5" ht="18" customHeight="1" x14ac:dyDescent="0.3">
      <c r="E657"/>
    </row>
    <row r="658" spans="5:5" ht="18" customHeight="1" x14ac:dyDescent="0.3">
      <c r="E658"/>
    </row>
    <row r="659" spans="5:5" ht="18" customHeight="1" x14ac:dyDescent="0.3">
      <c r="E659"/>
    </row>
    <row r="660" spans="5:5" ht="18" customHeight="1" x14ac:dyDescent="0.3">
      <c r="E660"/>
    </row>
    <row r="661" spans="5:5" ht="18" customHeight="1" x14ac:dyDescent="0.3">
      <c r="E661"/>
    </row>
    <row r="662" spans="5:5" ht="18" customHeight="1" x14ac:dyDescent="0.3">
      <c r="E662"/>
    </row>
    <row r="663" spans="5:5" ht="18" customHeight="1" x14ac:dyDescent="0.3">
      <c r="E663"/>
    </row>
    <row r="664" spans="5:5" ht="18" customHeight="1" x14ac:dyDescent="0.3">
      <c r="E664"/>
    </row>
    <row r="665" spans="5:5" ht="18" customHeight="1" x14ac:dyDescent="0.3">
      <c r="E665"/>
    </row>
    <row r="666" spans="5:5" ht="18" customHeight="1" x14ac:dyDescent="0.3">
      <c r="E666"/>
    </row>
    <row r="667" spans="5:5" ht="18" customHeight="1" x14ac:dyDescent="0.3">
      <c r="E667"/>
    </row>
    <row r="668" spans="5:5" ht="18" customHeight="1" x14ac:dyDescent="0.3">
      <c r="E668"/>
    </row>
    <row r="669" spans="5:5" ht="18" customHeight="1" x14ac:dyDescent="0.3">
      <c r="E669"/>
    </row>
    <row r="670" spans="5:5" ht="18" customHeight="1" x14ac:dyDescent="0.3">
      <c r="E670"/>
    </row>
    <row r="671" spans="5:5" ht="18" customHeight="1" x14ac:dyDescent="0.3">
      <c r="E671"/>
    </row>
    <row r="672" spans="5:5" ht="18" customHeight="1" x14ac:dyDescent="0.3">
      <c r="E672"/>
    </row>
    <row r="673" spans="5:5" ht="18" customHeight="1" x14ac:dyDescent="0.3">
      <c r="E673"/>
    </row>
    <row r="674" spans="5:5" ht="18" customHeight="1" x14ac:dyDescent="0.3">
      <c r="E674"/>
    </row>
    <row r="675" spans="5:5" ht="18" customHeight="1" x14ac:dyDescent="0.3">
      <c r="E675"/>
    </row>
    <row r="676" spans="5:5" ht="18" customHeight="1" x14ac:dyDescent="0.3">
      <c r="E676"/>
    </row>
    <row r="677" spans="5:5" ht="18" customHeight="1" x14ac:dyDescent="0.3">
      <c r="E677"/>
    </row>
    <row r="678" spans="5:5" ht="18" customHeight="1" x14ac:dyDescent="0.3">
      <c r="E678"/>
    </row>
    <row r="679" spans="5:5" ht="18" customHeight="1" x14ac:dyDescent="0.3">
      <c r="E679"/>
    </row>
    <row r="680" spans="5:5" ht="18" customHeight="1" x14ac:dyDescent="0.3">
      <c r="E680"/>
    </row>
    <row r="681" spans="5:5" ht="18" customHeight="1" x14ac:dyDescent="0.3">
      <c r="E681"/>
    </row>
    <row r="682" spans="5:5" ht="18" customHeight="1" x14ac:dyDescent="0.3">
      <c r="E682"/>
    </row>
    <row r="683" spans="5:5" ht="18" customHeight="1" x14ac:dyDescent="0.3">
      <c r="E683"/>
    </row>
    <row r="684" spans="5:5" ht="18" customHeight="1" x14ac:dyDescent="0.3">
      <c r="E684"/>
    </row>
    <row r="685" spans="5:5" ht="18" customHeight="1" x14ac:dyDescent="0.3">
      <c r="E685"/>
    </row>
    <row r="686" spans="5:5" ht="18" customHeight="1" x14ac:dyDescent="0.3">
      <c r="E686"/>
    </row>
    <row r="687" spans="5:5" ht="18" customHeight="1" x14ac:dyDescent="0.3">
      <c r="E687"/>
    </row>
    <row r="688" spans="5:5" ht="18" customHeight="1" x14ac:dyDescent="0.3">
      <c r="E688"/>
    </row>
    <row r="689" spans="5:5" ht="18" customHeight="1" x14ac:dyDescent="0.3">
      <c r="E689"/>
    </row>
    <row r="690" spans="5:5" ht="18" customHeight="1" x14ac:dyDescent="0.3">
      <c r="E690"/>
    </row>
    <row r="691" spans="5:5" ht="18" customHeight="1" x14ac:dyDescent="0.3">
      <c r="E691"/>
    </row>
    <row r="692" spans="5:5" ht="18" customHeight="1" x14ac:dyDescent="0.3">
      <c r="E692"/>
    </row>
    <row r="693" spans="5:5" ht="18" customHeight="1" x14ac:dyDescent="0.3">
      <c r="E693"/>
    </row>
    <row r="694" spans="5:5" ht="18" customHeight="1" x14ac:dyDescent="0.3">
      <c r="E694"/>
    </row>
    <row r="695" spans="5:5" ht="18" customHeight="1" x14ac:dyDescent="0.3">
      <c r="E695"/>
    </row>
    <row r="696" spans="5:5" ht="18" customHeight="1" x14ac:dyDescent="0.3">
      <c r="E696"/>
    </row>
    <row r="697" spans="5:5" ht="18" customHeight="1" x14ac:dyDescent="0.3">
      <c r="E697"/>
    </row>
    <row r="698" spans="5:5" ht="18" customHeight="1" x14ac:dyDescent="0.3">
      <c r="E698"/>
    </row>
    <row r="699" spans="5:5" ht="18" customHeight="1" x14ac:dyDescent="0.3">
      <c r="E699"/>
    </row>
    <row r="700" spans="5:5" ht="18" customHeight="1" x14ac:dyDescent="0.3">
      <c r="E700"/>
    </row>
    <row r="701" spans="5:5" ht="18" customHeight="1" x14ac:dyDescent="0.3">
      <c r="E701"/>
    </row>
    <row r="702" spans="5:5" ht="18" customHeight="1" x14ac:dyDescent="0.3">
      <c r="E702"/>
    </row>
    <row r="703" spans="5:5" ht="18" customHeight="1" x14ac:dyDescent="0.3">
      <c r="E703"/>
    </row>
    <row r="704" spans="5:5" ht="18" customHeight="1" x14ac:dyDescent="0.3">
      <c r="E704"/>
    </row>
    <row r="705" spans="5:5" ht="18" customHeight="1" x14ac:dyDescent="0.3">
      <c r="E705"/>
    </row>
    <row r="706" spans="5:5" ht="18" customHeight="1" x14ac:dyDescent="0.3">
      <c r="E706"/>
    </row>
    <row r="707" spans="5:5" ht="18" customHeight="1" x14ac:dyDescent="0.3">
      <c r="E707"/>
    </row>
    <row r="708" spans="5:5" ht="18" customHeight="1" x14ac:dyDescent="0.3">
      <c r="E708"/>
    </row>
    <row r="709" spans="5:5" ht="18" customHeight="1" x14ac:dyDescent="0.3">
      <c r="E709"/>
    </row>
    <row r="710" spans="5:5" ht="18" customHeight="1" x14ac:dyDescent="0.3">
      <c r="E710"/>
    </row>
    <row r="711" spans="5:5" ht="18" customHeight="1" x14ac:dyDescent="0.3">
      <c r="E711"/>
    </row>
    <row r="712" spans="5:5" ht="18" customHeight="1" x14ac:dyDescent="0.3">
      <c r="E712"/>
    </row>
    <row r="713" spans="5:5" ht="18" customHeight="1" x14ac:dyDescent="0.3">
      <c r="E713"/>
    </row>
    <row r="714" spans="5:5" ht="18" customHeight="1" x14ac:dyDescent="0.3">
      <c r="E714"/>
    </row>
    <row r="715" spans="5:5" ht="18" customHeight="1" x14ac:dyDescent="0.3">
      <c r="E715"/>
    </row>
    <row r="716" spans="5:5" ht="18" customHeight="1" x14ac:dyDescent="0.3">
      <c r="E716"/>
    </row>
    <row r="717" spans="5:5" ht="18" customHeight="1" x14ac:dyDescent="0.3">
      <c r="E717"/>
    </row>
    <row r="718" spans="5:5" ht="18" customHeight="1" x14ac:dyDescent="0.3">
      <c r="E718"/>
    </row>
    <row r="719" spans="5:5" ht="18" customHeight="1" x14ac:dyDescent="0.3">
      <c r="E719"/>
    </row>
    <row r="720" spans="5:5" ht="18" customHeight="1" x14ac:dyDescent="0.3">
      <c r="E720"/>
    </row>
    <row r="721" spans="5:5" ht="18" customHeight="1" x14ac:dyDescent="0.3">
      <c r="E721"/>
    </row>
    <row r="722" spans="5:5" ht="18" customHeight="1" x14ac:dyDescent="0.3">
      <c r="E722"/>
    </row>
    <row r="723" spans="5:5" ht="18" customHeight="1" x14ac:dyDescent="0.3">
      <c r="E723"/>
    </row>
    <row r="724" spans="5:5" ht="18" customHeight="1" x14ac:dyDescent="0.3">
      <c r="E724"/>
    </row>
    <row r="725" spans="5:5" ht="18" customHeight="1" x14ac:dyDescent="0.3">
      <c r="E725"/>
    </row>
    <row r="726" spans="5:5" ht="18" customHeight="1" x14ac:dyDescent="0.3">
      <c r="E726"/>
    </row>
    <row r="727" spans="5:5" ht="18" customHeight="1" x14ac:dyDescent="0.3">
      <c r="E727"/>
    </row>
    <row r="728" spans="5:5" ht="18" customHeight="1" x14ac:dyDescent="0.3">
      <c r="E728"/>
    </row>
    <row r="729" spans="5:5" ht="18" customHeight="1" x14ac:dyDescent="0.3">
      <c r="E729"/>
    </row>
    <row r="730" spans="5:5" ht="18" customHeight="1" x14ac:dyDescent="0.3">
      <c r="E730"/>
    </row>
    <row r="731" spans="5:5" ht="18" customHeight="1" x14ac:dyDescent="0.3">
      <c r="E731"/>
    </row>
    <row r="732" spans="5:5" ht="18" customHeight="1" x14ac:dyDescent="0.3">
      <c r="E732"/>
    </row>
    <row r="733" spans="5:5" ht="18" customHeight="1" x14ac:dyDescent="0.3">
      <c r="E733"/>
    </row>
    <row r="734" spans="5:5" ht="18" customHeight="1" x14ac:dyDescent="0.3">
      <c r="E734"/>
    </row>
    <row r="735" spans="5:5" ht="18" customHeight="1" x14ac:dyDescent="0.3">
      <c r="E735"/>
    </row>
    <row r="736" spans="5:5" ht="18" customHeight="1" x14ac:dyDescent="0.3">
      <c r="E736"/>
    </row>
    <row r="737" spans="5:5" ht="18" customHeight="1" x14ac:dyDescent="0.3">
      <c r="E737"/>
    </row>
    <row r="738" spans="5:5" ht="18" customHeight="1" x14ac:dyDescent="0.3">
      <c r="E738"/>
    </row>
    <row r="739" spans="5:5" ht="18" customHeight="1" x14ac:dyDescent="0.3">
      <c r="E739"/>
    </row>
    <row r="740" spans="5:5" ht="18" customHeight="1" x14ac:dyDescent="0.3">
      <c r="E740"/>
    </row>
    <row r="741" spans="5:5" ht="18" customHeight="1" x14ac:dyDescent="0.3">
      <c r="E741"/>
    </row>
    <row r="742" spans="5:5" ht="18" customHeight="1" x14ac:dyDescent="0.3">
      <c r="E742"/>
    </row>
    <row r="743" spans="5:5" ht="18" customHeight="1" x14ac:dyDescent="0.3">
      <c r="E743"/>
    </row>
    <row r="744" spans="5:5" ht="18" customHeight="1" x14ac:dyDescent="0.3">
      <c r="E744"/>
    </row>
    <row r="745" spans="5:5" ht="18" customHeight="1" x14ac:dyDescent="0.3">
      <c r="E745"/>
    </row>
    <row r="746" spans="5:5" ht="18" customHeight="1" x14ac:dyDescent="0.3">
      <c r="E746"/>
    </row>
    <row r="747" spans="5:5" ht="18" customHeight="1" x14ac:dyDescent="0.3">
      <c r="E747"/>
    </row>
    <row r="748" spans="5:5" ht="18" customHeight="1" x14ac:dyDescent="0.3">
      <c r="E748"/>
    </row>
    <row r="749" spans="5:5" ht="18" customHeight="1" x14ac:dyDescent="0.3">
      <c r="E749"/>
    </row>
    <row r="750" spans="5:5" ht="18" customHeight="1" x14ac:dyDescent="0.3">
      <c r="E750"/>
    </row>
    <row r="751" spans="5:5" ht="18" customHeight="1" x14ac:dyDescent="0.3">
      <c r="E751"/>
    </row>
    <row r="752" spans="5:5" ht="18" customHeight="1" x14ac:dyDescent="0.3">
      <c r="E752"/>
    </row>
    <row r="753" spans="5:5" ht="18" customHeight="1" x14ac:dyDescent="0.3">
      <c r="E753"/>
    </row>
    <row r="754" spans="5:5" ht="18" customHeight="1" x14ac:dyDescent="0.3">
      <c r="E754"/>
    </row>
    <row r="755" spans="5:5" ht="18" customHeight="1" x14ac:dyDescent="0.3">
      <c r="E755"/>
    </row>
    <row r="756" spans="5:5" ht="18" customHeight="1" x14ac:dyDescent="0.3">
      <c r="E756"/>
    </row>
    <row r="757" spans="5:5" ht="18" customHeight="1" x14ac:dyDescent="0.3">
      <c r="E757"/>
    </row>
    <row r="758" spans="5:5" ht="18" customHeight="1" x14ac:dyDescent="0.3">
      <c r="E758"/>
    </row>
    <row r="759" spans="5:5" ht="18" customHeight="1" x14ac:dyDescent="0.3">
      <c r="E759"/>
    </row>
    <row r="760" spans="5:5" ht="18" customHeight="1" x14ac:dyDescent="0.3">
      <c r="E760"/>
    </row>
    <row r="761" spans="5:5" ht="18" customHeight="1" x14ac:dyDescent="0.3">
      <c r="E761"/>
    </row>
    <row r="762" spans="5:5" ht="18" customHeight="1" x14ac:dyDescent="0.3">
      <c r="E762"/>
    </row>
    <row r="763" spans="5:5" ht="18" customHeight="1" x14ac:dyDescent="0.3">
      <c r="E763"/>
    </row>
    <row r="764" spans="5:5" ht="18" customHeight="1" x14ac:dyDescent="0.3">
      <c r="E764"/>
    </row>
    <row r="765" spans="5:5" ht="18" customHeight="1" x14ac:dyDescent="0.3">
      <c r="E765"/>
    </row>
    <row r="766" spans="5:5" ht="18" customHeight="1" x14ac:dyDescent="0.3">
      <c r="E766"/>
    </row>
    <row r="767" spans="5:5" ht="18" customHeight="1" x14ac:dyDescent="0.3">
      <c r="E767"/>
    </row>
    <row r="768" spans="5:5" ht="18" customHeight="1" x14ac:dyDescent="0.3">
      <c r="E768"/>
    </row>
    <row r="769" spans="5:5" ht="18" customHeight="1" x14ac:dyDescent="0.3">
      <c r="E769"/>
    </row>
    <row r="770" spans="5:5" ht="18" customHeight="1" x14ac:dyDescent="0.3">
      <c r="E770"/>
    </row>
    <row r="771" spans="5:5" ht="18" customHeight="1" x14ac:dyDescent="0.3">
      <c r="E771"/>
    </row>
    <row r="772" spans="5:5" ht="18" customHeight="1" x14ac:dyDescent="0.3">
      <c r="E772"/>
    </row>
    <row r="773" spans="5:5" ht="18" customHeight="1" x14ac:dyDescent="0.3">
      <c r="E773"/>
    </row>
    <row r="774" spans="5:5" ht="18" customHeight="1" x14ac:dyDescent="0.3">
      <c r="E774"/>
    </row>
    <row r="775" spans="5:5" ht="18" customHeight="1" x14ac:dyDescent="0.3">
      <c r="E775"/>
    </row>
    <row r="776" spans="5:5" ht="18" customHeight="1" x14ac:dyDescent="0.3">
      <c r="E776"/>
    </row>
    <row r="777" spans="5:5" ht="18" customHeight="1" x14ac:dyDescent="0.3">
      <c r="E777"/>
    </row>
    <row r="778" spans="5:5" ht="18" customHeight="1" x14ac:dyDescent="0.3">
      <c r="E778"/>
    </row>
    <row r="779" spans="5:5" ht="18" customHeight="1" x14ac:dyDescent="0.3">
      <c r="E779"/>
    </row>
    <row r="780" spans="5:5" ht="18" customHeight="1" x14ac:dyDescent="0.3">
      <c r="E780"/>
    </row>
    <row r="781" spans="5:5" ht="18" customHeight="1" x14ac:dyDescent="0.3">
      <c r="E781"/>
    </row>
    <row r="782" spans="5:5" ht="18" customHeight="1" x14ac:dyDescent="0.3">
      <c r="E782"/>
    </row>
    <row r="783" spans="5:5" ht="18" customHeight="1" x14ac:dyDescent="0.3">
      <c r="E783"/>
    </row>
    <row r="784" spans="5:5" ht="18" customHeight="1" x14ac:dyDescent="0.3">
      <c r="E784"/>
    </row>
    <row r="785" spans="5:5" ht="18" customHeight="1" x14ac:dyDescent="0.3">
      <c r="E785"/>
    </row>
    <row r="786" spans="5:5" ht="18" customHeight="1" x14ac:dyDescent="0.3">
      <c r="E786"/>
    </row>
    <row r="787" spans="5:5" ht="18" customHeight="1" x14ac:dyDescent="0.3">
      <c r="E787"/>
    </row>
    <row r="788" spans="5:5" ht="18" customHeight="1" x14ac:dyDescent="0.3">
      <c r="E788"/>
    </row>
    <row r="789" spans="5:5" ht="18" customHeight="1" x14ac:dyDescent="0.3">
      <c r="E789"/>
    </row>
    <row r="790" spans="5:5" ht="18" customHeight="1" x14ac:dyDescent="0.3">
      <c r="E790"/>
    </row>
    <row r="791" spans="5:5" ht="18" customHeight="1" x14ac:dyDescent="0.3">
      <c r="E791"/>
    </row>
    <row r="792" spans="5:5" ht="18" customHeight="1" x14ac:dyDescent="0.3">
      <c r="E792"/>
    </row>
    <row r="793" spans="5:5" ht="18" customHeight="1" x14ac:dyDescent="0.3">
      <c r="E793"/>
    </row>
    <row r="794" spans="5:5" ht="18" customHeight="1" x14ac:dyDescent="0.3">
      <c r="E794"/>
    </row>
    <row r="795" spans="5:5" ht="18" customHeight="1" x14ac:dyDescent="0.3">
      <c r="E795"/>
    </row>
    <row r="796" spans="5:5" ht="18" customHeight="1" x14ac:dyDescent="0.3">
      <c r="E796"/>
    </row>
    <row r="797" spans="5:5" ht="18" customHeight="1" x14ac:dyDescent="0.3">
      <c r="E797"/>
    </row>
    <row r="798" spans="5:5" ht="18" customHeight="1" x14ac:dyDescent="0.3">
      <c r="E798"/>
    </row>
    <row r="799" spans="5:5" ht="18" customHeight="1" x14ac:dyDescent="0.3">
      <c r="E799"/>
    </row>
    <row r="800" spans="5:5" ht="18" customHeight="1" x14ac:dyDescent="0.3">
      <c r="E800"/>
    </row>
    <row r="801" spans="5:5" ht="18" customHeight="1" x14ac:dyDescent="0.3">
      <c r="E801"/>
    </row>
    <row r="802" spans="5:5" ht="18" customHeight="1" x14ac:dyDescent="0.3">
      <c r="E802"/>
    </row>
    <row r="803" spans="5:5" ht="18" customHeight="1" x14ac:dyDescent="0.3">
      <c r="E803"/>
    </row>
    <row r="804" spans="5:5" ht="18" customHeight="1" x14ac:dyDescent="0.3">
      <c r="E804"/>
    </row>
    <row r="805" spans="5:5" ht="18" customHeight="1" x14ac:dyDescent="0.3">
      <c r="E805"/>
    </row>
    <row r="806" spans="5:5" ht="18" customHeight="1" x14ac:dyDescent="0.3">
      <c r="E806"/>
    </row>
    <row r="807" spans="5:5" ht="18" customHeight="1" x14ac:dyDescent="0.3">
      <c r="E807"/>
    </row>
    <row r="808" spans="5:5" ht="18" customHeight="1" x14ac:dyDescent="0.3">
      <c r="E808"/>
    </row>
    <row r="809" spans="5:5" ht="18" customHeight="1" x14ac:dyDescent="0.3">
      <c r="E809"/>
    </row>
    <row r="810" spans="5:5" ht="18" customHeight="1" x14ac:dyDescent="0.3">
      <c r="E810"/>
    </row>
    <row r="811" spans="5:5" ht="18" customHeight="1" x14ac:dyDescent="0.3">
      <c r="E811"/>
    </row>
    <row r="812" spans="5:5" ht="18" customHeight="1" x14ac:dyDescent="0.3">
      <c r="E812"/>
    </row>
    <row r="813" spans="5:5" ht="18" customHeight="1" x14ac:dyDescent="0.3">
      <c r="E813"/>
    </row>
    <row r="814" spans="5:5" ht="18" customHeight="1" x14ac:dyDescent="0.3">
      <c r="E814"/>
    </row>
    <row r="815" spans="5:5" ht="18" customHeight="1" x14ac:dyDescent="0.3">
      <c r="E815"/>
    </row>
    <row r="816" spans="5:5" ht="18" customHeight="1" x14ac:dyDescent="0.3">
      <c r="E816"/>
    </row>
    <row r="817" spans="5:5" ht="18" customHeight="1" x14ac:dyDescent="0.3">
      <c r="E817"/>
    </row>
    <row r="818" spans="5:5" ht="18" customHeight="1" x14ac:dyDescent="0.3">
      <c r="E818"/>
    </row>
    <row r="819" spans="5:5" ht="18" customHeight="1" x14ac:dyDescent="0.3">
      <c r="E819"/>
    </row>
    <row r="820" spans="5:5" ht="18" customHeight="1" x14ac:dyDescent="0.3">
      <c r="E820"/>
    </row>
    <row r="821" spans="5:5" ht="18" customHeight="1" x14ac:dyDescent="0.3">
      <c r="E821"/>
    </row>
    <row r="822" spans="5:5" ht="18" customHeight="1" x14ac:dyDescent="0.3">
      <c r="E822"/>
    </row>
    <row r="823" spans="5:5" ht="18" customHeight="1" x14ac:dyDescent="0.3">
      <c r="E823"/>
    </row>
    <row r="824" spans="5:5" ht="18" customHeight="1" x14ac:dyDescent="0.3">
      <c r="E824"/>
    </row>
    <row r="825" spans="5:5" ht="18" customHeight="1" x14ac:dyDescent="0.3">
      <c r="E825"/>
    </row>
    <row r="826" spans="5:5" ht="18" customHeight="1" x14ac:dyDescent="0.3">
      <c r="E826"/>
    </row>
    <row r="827" spans="5:5" ht="18" customHeight="1" x14ac:dyDescent="0.3">
      <c r="E827"/>
    </row>
    <row r="828" spans="5:5" ht="18" customHeight="1" x14ac:dyDescent="0.3">
      <c r="E828"/>
    </row>
    <row r="829" spans="5:5" ht="18" customHeight="1" x14ac:dyDescent="0.3">
      <c r="E829"/>
    </row>
    <row r="830" spans="5:5" ht="18" customHeight="1" x14ac:dyDescent="0.3">
      <c r="E830"/>
    </row>
    <row r="831" spans="5:5" ht="18" customHeight="1" x14ac:dyDescent="0.3">
      <c r="E831"/>
    </row>
    <row r="832" spans="5:5" ht="18" customHeight="1" x14ac:dyDescent="0.3">
      <c r="E832"/>
    </row>
  </sheetData>
  <sortState xmlns:xlrd2="http://schemas.microsoft.com/office/spreadsheetml/2017/richdata2" ref="U3:U140">
    <sortCondition ref="U3:U140" customList="enero,febrero,marzo,abril,mayo,junio,julio,agosto,septiembre,octubre,noviembre,diciembre"/>
  </sortState>
  <phoneticPr fontId="6" type="noConversion"/>
  <pageMargins left="0.7" right="0.7" top="0.75" bottom="0.75" header="0.3" footer="0.3"/>
  <pageSetup paperSize="9" scale="75" orientation="portrait" r:id="rId1"/>
  <colBreaks count="2" manualBreakCount="2">
    <brk id="15" max="227" man="1"/>
    <brk id="17" max="227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B2D0C-8B17-4584-BD9E-53D85BC5F8EA}">
  <dimension ref="A1:X184"/>
  <sheetViews>
    <sheetView zoomScale="50" zoomScaleNormal="50" workbookViewId="0">
      <pane ySplit="1" topLeftCell="A161" activePane="bottomLeft" state="frozen"/>
      <selection activeCell="D1" sqref="D1"/>
      <selection pane="bottomLeft" activeCell="B189" sqref="B189:J193"/>
    </sheetView>
  </sheetViews>
  <sheetFormatPr baseColWidth="10" defaultColWidth="37.109375" defaultRowHeight="24" customHeight="1" x14ac:dyDescent="0.3"/>
  <cols>
    <col min="1" max="1" width="52.109375" customWidth="1"/>
    <col min="2" max="2" width="59.5546875" customWidth="1"/>
    <col min="3" max="3" width="100.109375" style="107" hidden="1" customWidth="1"/>
    <col min="4" max="4" width="52.88671875" style="107" hidden="1" customWidth="1"/>
    <col min="5" max="5" width="45.5546875" style="107" hidden="1" customWidth="1"/>
    <col min="6" max="6" width="45.44140625" style="244" hidden="1" customWidth="1"/>
    <col min="7" max="7" width="37.109375" style="246"/>
    <col min="8" max="8" width="37.109375" style="244"/>
    <col min="9" max="9" width="45.44140625" customWidth="1"/>
    <col min="10" max="10" width="37.109375" customWidth="1"/>
    <col min="11" max="11" width="48.44140625" customWidth="1"/>
    <col min="17" max="17" width="46.109375" customWidth="1"/>
    <col min="19" max="19" width="57.109375" customWidth="1"/>
    <col min="20" max="20" width="61.44140625" customWidth="1"/>
  </cols>
  <sheetData>
    <row r="1" spans="1:24" ht="43.35" customHeight="1" x14ac:dyDescent="0.3">
      <c r="A1" s="25" t="s">
        <v>377</v>
      </c>
      <c r="B1" s="25" t="s">
        <v>378</v>
      </c>
      <c r="C1" s="236" t="s">
        <v>707</v>
      </c>
      <c r="D1" s="236" t="s">
        <v>708</v>
      </c>
      <c r="E1" s="236" t="s">
        <v>709</v>
      </c>
      <c r="F1" s="25" t="s">
        <v>2</v>
      </c>
      <c r="G1" s="245" t="s">
        <v>3</v>
      </c>
      <c r="H1" s="221" t="s">
        <v>4</v>
      </c>
      <c r="I1" s="25" t="s">
        <v>5</v>
      </c>
      <c r="J1" s="26" t="s">
        <v>6</v>
      </c>
      <c r="K1" s="318" t="s">
        <v>379</v>
      </c>
      <c r="L1" s="27" t="s">
        <v>7</v>
      </c>
      <c r="M1" s="26" t="s">
        <v>8</v>
      </c>
      <c r="N1" s="26" t="s">
        <v>9</v>
      </c>
      <c r="O1" s="26" t="s">
        <v>10</v>
      </c>
      <c r="P1" s="26" t="s">
        <v>380</v>
      </c>
      <c r="Q1" s="26" t="s">
        <v>12</v>
      </c>
      <c r="R1" s="26" t="s">
        <v>13</v>
      </c>
      <c r="S1" s="26" t="s">
        <v>14</v>
      </c>
      <c r="T1" s="26" t="s">
        <v>15</v>
      </c>
      <c r="U1" s="26" t="s">
        <v>381</v>
      </c>
      <c r="V1" s="26" t="s">
        <v>382</v>
      </c>
      <c r="W1" s="26" t="s">
        <v>18</v>
      </c>
      <c r="X1" s="26" t="s">
        <v>19</v>
      </c>
    </row>
    <row r="2" spans="1:24" s="176" customFormat="1" ht="25.35" customHeight="1" x14ac:dyDescent="0.3">
      <c r="A2" s="46" t="s">
        <v>171</v>
      </c>
      <c r="B2" s="46" t="s">
        <v>710</v>
      </c>
      <c r="C2" s="321" t="s">
        <v>711</v>
      </c>
      <c r="D2" s="97"/>
      <c r="E2" s="130" t="s">
        <v>712</v>
      </c>
      <c r="F2" s="242" t="s">
        <v>713</v>
      </c>
      <c r="G2" s="249">
        <v>45259</v>
      </c>
      <c r="H2" s="242" t="s">
        <v>217</v>
      </c>
      <c r="I2" s="35" t="s">
        <v>57</v>
      </c>
      <c r="J2" s="35" t="s">
        <v>24</v>
      </c>
      <c r="K2" s="46"/>
      <c r="L2" s="250" t="s">
        <v>25</v>
      </c>
      <c r="M2" s="34">
        <v>16464.55</v>
      </c>
      <c r="N2" s="61">
        <f>M2*0.15</f>
        <v>2469.6824999999999</v>
      </c>
      <c r="O2" s="46" t="s">
        <v>26</v>
      </c>
      <c r="P2" s="34">
        <v>0</v>
      </c>
      <c r="Q2" s="34"/>
      <c r="R2" s="34">
        <f>N2</f>
        <v>2469.6824999999999</v>
      </c>
      <c r="S2" s="46" t="s">
        <v>27</v>
      </c>
      <c r="T2" s="46" t="s">
        <v>27</v>
      </c>
      <c r="U2" s="46"/>
      <c r="V2" s="46"/>
      <c r="W2" s="46" t="s">
        <v>44</v>
      </c>
      <c r="X2" s="46"/>
    </row>
    <row r="3" spans="1:24" ht="24" customHeight="1" x14ac:dyDescent="0.3">
      <c r="A3" s="6" t="s">
        <v>515</v>
      </c>
      <c r="B3" s="46" t="s">
        <v>714</v>
      </c>
      <c r="C3" s="97" t="s">
        <v>715</v>
      </c>
      <c r="D3" s="135"/>
      <c r="E3" s="275" t="s">
        <v>716</v>
      </c>
      <c r="F3" s="242" t="s">
        <v>717</v>
      </c>
      <c r="G3" s="241">
        <v>45329</v>
      </c>
      <c r="H3" s="240" t="s">
        <v>718</v>
      </c>
      <c r="I3" s="35" t="s">
        <v>57</v>
      </c>
      <c r="J3" s="41" t="s">
        <v>78</v>
      </c>
      <c r="K3" s="6"/>
      <c r="L3" s="29" t="s">
        <v>47</v>
      </c>
      <c r="M3" s="9">
        <v>1416308.38</v>
      </c>
      <c r="N3" s="9">
        <f>M3*0.15</f>
        <v>212446.25699999998</v>
      </c>
      <c r="O3" s="6" t="s">
        <v>79</v>
      </c>
      <c r="P3" s="9">
        <f>N3*0.3333</f>
        <v>70808.337458099995</v>
      </c>
      <c r="Q3" s="263" t="s">
        <v>340</v>
      </c>
      <c r="R3" s="9">
        <f>N3*0.6667</f>
        <v>141637.91954189999</v>
      </c>
      <c r="S3" s="50" t="s">
        <v>27</v>
      </c>
      <c r="T3" s="50" t="s">
        <v>27</v>
      </c>
      <c r="U3" s="6"/>
      <c r="V3" s="6"/>
      <c r="W3" s="6" t="s">
        <v>54</v>
      </c>
      <c r="X3" s="6"/>
    </row>
    <row r="4" spans="1:24" ht="24" customHeight="1" x14ac:dyDescent="0.3">
      <c r="A4" s="6" t="s">
        <v>515</v>
      </c>
      <c r="B4" s="46" t="s">
        <v>719</v>
      </c>
      <c r="C4" s="97" t="s">
        <v>720</v>
      </c>
      <c r="D4" s="97"/>
      <c r="E4" s="97" t="s">
        <v>721</v>
      </c>
      <c r="F4" s="242" t="s">
        <v>722</v>
      </c>
      <c r="G4" s="241">
        <v>45329</v>
      </c>
      <c r="H4" s="240" t="s">
        <v>718</v>
      </c>
      <c r="I4" s="41" t="s">
        <v>213</v>
      </c>
      <c r="J4" s="41" t="s">
        <v>78</v>
      </c>
      <c r="K4" s="6"/>
      <c r="L4" s="29" t="s">
        <v>47</v>
      </c>
      <c r="M4" s="9">
        <v>305689.42</v>
      </c>
      <c r="N4" s="9">
        <f>M4*0.12</f>
        <v>36682.730399999993</v>
      </c>
      <c r="O4" s="6" t="s">
        <v>26</v>
      </c>
      <c r="P4" s="9">
        <v>0</v>
      </c>
      <c r="Q4" s="29"/>
      <c r="R4" s="9">
        <f>N4</f>
        <v>36682.730399999993</v>
      </c>
      <c r="S4" s="50" t="s">
        <v>27</v>
      </c>
      <c r="T4" s="50" t="s">
        <v>27</v>
      </c>
      <c r="U4" s="6"/>
      <c r="V4" s="6"/>
      <c r="W4" s="6" t="s">
        <v>54</v>
      </c>
      <c r="X4" s="6"/>
    </row>
    <row r="5" spans="1:24" ht="24" customHeight="1" x14ac:dyDescent="0.3">
      <c r="A5" s="6" t="s">
        <v>151</v>
      </c>
      <c r="B5" s="46" t="s">
        <v>723</v>
      </c>
      <c r="C5" s="97" t="s">
        <v>711</v>
      </c>
      <c r="D5" s="97"/>
      <c r="E5" s="97" t="s">
        <v>724</v>
      </c>
      <c r="F5" s="242" t="s">
        <v>725</v>
      </c>
      <c r="G5" s="241">
        <v>45321</v>
      </c>
      <c r="H5" s="240" t="s">
        <v>44</v>
      </c>
      <c r="I5" s="41" t="s">
        <v>726</v>
      </c>
      <c r="J5" s="41" t="s">
        <v>46</v>
      </c>
      <c r="K5" s="6"/>
      <c r="L5" s="29" t="s">
        <v>25</v>
      </c>
      <c r="M5" s="9">
        <v>130719.15</v>
      </c>
      <c r="N5" s="9">
        <f>M5*0.15</f>
        <v>19607.872499999998</v>
      </c>
      <c r="O5" s="6" t="s">
        <v>72</v>
      </c>
      <c r="P5" s="9">
        <f>N5*0.6</f>
        <v>11764.723499999998</v>
      </c>
      <c r="Q5" s="256" t="s">
        <v>27</v>
      </c>
      <c r="R5" s="9">
        <f>N5*0.4</f>
        <v>7843.1489999999994</v>
      </c>
      <c r="S5" s="50" t="s">
        <v>27</v>
      </c>
      <c r="T5" s="50" t="s">
        <v>27</v>
      </c>
      <c r="U5" s="6"/>
      <c r="V5" s="6"/>
      <c r="W5" s="6" t="s">
        <v>54</v>
      </c>
      <c r="X5" s="6"/>
    </row>
    <row r="6" spans="1:24" ht="24" customHeight="1" x14ac:dyDescent="0.3">
      <c r="A6" s="6" t="s">
        <v>727</v>
      </c>
      <c r="B6" s="46" t="s">
        <v>728</v>
      </c>
      <c r="C6" s="97" t="s">
        <v>711</v>
      </c>
      <c r="D6" s="130"/>
      <c r="E6" s="130" t="s">
        <v>729</v>
      </c>
      <c r="F6" s="267">
        <v>11014491010000</v>
      </c>
      <c r="G6" s="241">
        <v>45337</v>
      </c>
      <c r="H6" s="240" t="s">
        <v>54</v>
      </c>
      <c r="I6" s="35" t="s">
        <v>57</v>
      </c>
      <c r="J6" s="41" t="s">
        <v>46</v>
      </c>
      <c r="K6" s="6"/>
      <c r="L6" s="29" t="s">
        <v>25</v>
      </c>
      <c r="M6" s="9">
        <v>216220.18</v>
      </c>
      <c r="N6" s="9">
        <f>M6*0.15</f>
        <v>32433.026999999998</v>
      </c>
      <c r="O6" s="6" t="s">
        <v>72</v>
      </c>
      <c r="P6" s="9">
        <f>N6*0.6</f>
        <v>19459.816199999997</v>
      </c>
      <c r="Q6" s="256" t="s">
        <v>27</v>
      </c>
      <c r="R6" s="9">
        <f>N6*0.4</f>
        <v>12973.210800000001</v>
      </c>
      <c r="S6" s="50" t="s">
        <v>27</v>
      </c>
      <c r="T6" s="50" t="s">
        <v>27</v>
      </c>
      <c r="U6" s="6"/>
      <c r="V6" s="6"/>
      <c r="W6" s="6" t="s">
        <v>54</v>
      </c>
      <c r="X6" s="6"/>
    </row>
    <row r="7" spans="1:24" ht="22.5" customHeight="1" x14ac:dyDescent="0.3">
      <c r="A7" s="6" t="s">
        <v>730</v>
      </c>
      <c r="B7" s="46" t="s">
        <v>731</v>
      </c>
      <c r="C7" s="97" t="s">
        <v>732</v>
      </c>
      <c r="D7" s="130"/>
      <c r="E7" s="265" t="s">
        <v>733</v>
      </c>
      <c r="F7" s="242" t="s">
        <v>734</v>
      </c>
      <c r="G7" s="241">
        <v>45348</v>
      </c>
      <c r="H7" s="240" t="s">
        <v>54</v>
      </c>
      <c r="I7" s="35" t="s">
        <v>57</v>
      </c>
      <c r="J7" s="41" t="s">
        <v>78</v>
      </c>
      <c r="K7" s="6"/>
      <c r="L7" s="29" t="s">
        <v>47</v>
      </c>
      <c r="M7" s="9">
        <v>982677.88</v>
      </c>
      <c r="N7" s="9">
        <f>M7*0.15</f>
        <v>147401.682</v>
      </c>
      <c r="O7" s="6" t="s">
        <v>79</v>
      </c>
      <c r="P7" s="9">
        <f>N7*0.3333</f>
        <v>49128.980610599996</v>
      </c>
      <c r="Q7" s="248" t="s">
        <v>340</v>
      </c>
      <c r="R7" s="9">
        <f>N7*0.6667</f>
        <v>98272.701389399997</v>
      </c>
      <c r="S7" s="50" t="s">
        <v>27</v>
      </c>
      <c r="T7" s="50" t="s">
        <v>27</v>
      </c>
      <c r="U7" s="6"/>
      <c r="V7" s="6"/>
      <c r="W7" s="6" t="s">
        <v>28</v>
      </c>
      <c r="X7" s="6"/>
    </row>
    <row r="8" spans="1:24" ht="24" customHeight="1" x14ac:dyDescent="0.3">
      <c r="A8" s="6" t="s">
        <v>730</v>
      </c>
      <c r="B8" s="46" t="s">
        <v>731</v>
      </c>
      <c r="C8" s="97" t="s">
        <v>735</v>
      </c>
      <c r="D8" s="130"/>
      <c r="E8" s="266" t="s">
        <v>736</v>
      </c>
      <c r="F8" s="242" t="s">
        <v>737</v>
      </c>
      <c r="G8" s="241">
        <v>45348</v>
      </c>
      <c r="H8" s="240" t="s">
        <v>54</v>
      </c>
      <c r="I8" s="41" t="s">
        <v>281</v>
      </c>
      <c r="J8" s="41" t="s">
        <v>78</v>
      </c>
      <c r="K8" s="6"/>
      <c r="L8" s="29" t="s">
        <v>47</v>
      </c>
      <c r="M8" s="9">
        <v>321000</v>
      </c>
      <c r="N8" s="9">
        <f>M8*0.1</f>
        <v>32100</v>
      </c>
      <c r="O8" s="6" t="s">
        <v>26</v>
      </c>
      <c r="P8" s="9">
        <v>0</v>
      </c>
      <c r="Q8" s="9"/>
      <c r="R8" s="34">
        <f>N8</f>
        <v>32100</v>
      </c>
      <c r="S8" s="50" t="s">
        <v>27</v>
      </c>
      <c r="T8" s="50" t="s">
        <v>27</v>
      </c>
      <c r="U8" s="6"/>
      <c r="V8" s="6"/>
      <c r="W8" s="6" t="s">
        <v>28</v>
      </c>
      <c r="X8" s="6"/>
    </row>
    <row r="9" spans="1:24" ht="24" customHeight="1" x14ac:dyDescent="0.3">
      <c r="A9" s="6" t="s">
        <v>515</v>
      </c>
      <c r="B9" s="46" t="s">
        <v>738</v>
      </c>
      <c r="C9" s="97" t="s">
        <v>739</v>
      </c>
      <c r="D9" s="130"/>
      <c r="E9" s="266" t="s">
        <v>740</v>
      </c>
      <c r="F9" s="242" t="s">
        <v>741</v>
      </c>
      <c r="G9" s="241">
        <v>45287</v>
      </c>
      <c r="H9" s="240" t="s">
        <v>223</v>
      </c>
      <c r="I9" s="35" t="s">
        <v>57</v>
      </c>
      <c r="J9" s="41" t="s">
        <v>78</v>
      </c>
      <c r="K9" s="6"/>
      <c r="L9" s="29" t="s">
        <v>47</v>
      </c>
      <c r="M9" s="9">
        <v>366017.3</v>
      </c>
      <c r="N9" s="9">
        <f>M9*0.15</f>
        <v>54902.594999999994</v>
      </c>
      <c r="O9" s="6" t="s">
        <v>79</v>
      </c>
      <c r="P9" s="9">
        <f>N9*0.3333</f>
        <v>18299.034913499996</v>
      </c>
      <c r="Q9" s="248" t="s">
        <v>340</v>
      </c>
      <c r="R9" s="9">
        <f>N9*0.6667</f>
        <v>36603.560086499994</v>
      </c>
      <c r="S9" s="50" t="s">
        <v>27</v>
      </c>
      <c r="T9" s="50" t="s">
        <v>27</v>
      </c>
      <c r="U9" s="6"/>
      <c r="V9" s="6"/>
      <c r="W9" s="6" t="s">
        <v>28</v>
      </c>
      <c r="X9" s="6"/>
    </row>
    <row r="10" spans="1:24" s="261" customFormat="1" ht="24" customHeight="1" x14ac:dyDescent="0.3">
      <c r="A10" s="230" t="s">
        <v>752</v>
      </c>
      <c r="B10" s="230" t="s">
        <v>753</v>
      </c>
      <c r="C10" s="247" t="s">
        <v>754</v>
      </c>
      <c r="D10" s="264"/>
      <c r="E10" s="265" t="s">
        <v>755</v>
      </c>
      <c r="F10" s="322" t="s">
        <v>756</v>
      </c>
      <c r="G10" s="323">
        <v>45330</v>
      </c>
      <c r="H10" s="322" t="s">
        <v>54</v>
      </c>
      <c r="I10" s="334" t="s">
        <v>57</v>
      </c>
      <c r="J10" s="334" t="s">
        <v>118</v>
      </c>
      <c r="K10" s="230" t="s">
        <v>417</v>
      </c>
      <c r="L10" s="324" t="s">
        <v>47</v>
      </c>
      <c r="M10" s="2">
        <v>167826.35</v>
      </c>
      <c r="N10" s="2">
        <f>M10*0.2</f>
        <v>33565.270000000004</v>
      </c>
      <c r="O10" s="230" t="s">
        <v>79</v>
      </c>
      <c r="P10" s="2">
        <f>N10*0.5</f>
        <v>16782.635000000002</v>
      </c>
      <c r="Q10" s="230" t="s">
        <v>27</v>
      </c>
      <c r="R10" s="2">
        <f>N10*0.5</f>
        <v>16782.635000000002</v>
      </c>
      <c r="S10" s="230" t="s">
        <v>27</v>
      </c>
      <c r="T10" s="230" t="s">
        <v>27</v>
      </c>
      <c r="U10" s="230" t="s">
        <v>747</v>
      </c>
      <c r="V10" s="230"/>
      <c r="W10" s="230" t="s">
        <v>28</v>
      </c>
      <c r="X10" s="230"/>
    </row>
    <row r="11" spans="1:24" s="261" customFormat="1" ht="24" customHeight="1" x14ac:dyDescent="0.3">
      <c r="A11" s="230" t="s">
        <v>752</v>
      </c>
      <c r="B11" s="230" t="s">
        <v>753</v>
      </c>
      <c r="C11" s="247" t="s">
        <v>793</v>
      </c>
      <c r="D11" s="264"/>
      <c r="E11" s="265" t="s">
        <v>794</v>
      </c>
      <c r="F11" s="322" t="s">
        <v>795</v>
      </c>
      <c r="G11" s="323">
        <v>45330</v>
      </c>
      <c r="H11" s="322" t="s">
        <v>54</v>
      </c>
      <c r="I11" s="334" t="s">
        <v>213</v>
      </c>
      <c r="J11" s="334" t="s">
        <v>118</v>
      </c>
      <c r="K11" s="230" t="s">
        <v>417</v>
      </c>
      <c r="L11" s="230" t="s">
        <v>47</v>
      </c>
      <c r="M11" s="2">
        <v>17631.900000000001</v>
      </c>
      <c r="N11" s="2">
        <f>M11*0.12</f>
        <v>2115.828</v>
      </c>
      <c r="O11" s="230" t="s">
        <v>26</v>
      </c>
      <c r="P11" s="2">
        <v>0</v>
      </c>
      <c r="Q11" s="2"/>
      <c r="R11" s="2">
        <f>N11</f>
        <v>2115.828</v>
      </c>
      <c r="S11" s="230" t="s">
        <v>27</v>
      </c>
      <c r="T11" s="230" t="s">
        <v>27</v>
      </c>
      <c r="U11" s="230"/>
      <c r="V11" s="230"/>
      <c r="W11" s="230" t="s">
        <v>28</v>
      </c>
      <c r="X11" s="230"/>
    </row>
    <row r="12" spans="1:24" ht="24" customHeight="1" x14ac:dyDescent="0.3">
      <c r="A12" s="6" t="s">
        <v>515</v>
      </c>
      <c r="B12" s="46" t="s">
        <v>738</v>
      </c>
      <c r="C12" s="97" t="s">
        <v>739</v>
      </c>
      <c r="D12" s="130"/>
      <c r="E12" s="266" t="s">
        <v>750</v>
      </c>
      <c r="F12" s="242" t="s">
        <v>751</v>
      </c>
      <c r="G12" s="241">
        <v>45287</v>
      </c>
      <c r="H12" s="240" t="s">
        <v>223</v>
      </c>
      <c r="I12" s="41" t="s">
        <v>213</v>
      </c>
      <c r="J12" s="41" t="s">
        <v>78</v>
      </c>
      <c r="K12" s="6"/>
      <c r="L12" s="29" t="s">
        <v>47</v>
      </c>
      <c r="M12" s="9">
        <v>299000</v>
      </c>
      <c r="N12" s="9">
        <f>M12*0.12</f>
        <v>35880</v>
      </c>
      <c r="O12" s="6" t="s">
        <v>26</v>
      </c>
      <c r="P12" s="9">
        <v>0</v>
      </c>
      <c r="Q12" s="9"/>
      <c r="R12" s="34">
        <f>N12</f>
        <v>35880</v>
      </c>
      <c r="S12" s="50" t="s">
        <v>27</v>
      </c>
      <c r="T12" s="50" t="s">
        <v>27</v>
      </c>
      <c r="U12" s="6"/>
      <c r="V12" s="6"/>
      <c r="W12" s="6" t="s">
        <v>28</v>
      </c>
      <c r="X12" s="6"/>
    </row>
    <row r="13" spans="1:24" s="261" customFormat="1" ht="24" customHeight="1" x14ac:dyDescent="0.3">
      <c r="A13" s="230" t="s">
        <v>742</v>
      </c>
      <c r="B13" s="230" t="s">
        <v>743</v>
      </c>
      <c r="C13" s="247" t="s">
        <v>744</v>
      </c>
      <c r="D13" s="264"/>
      <c r="E13" s="264" t="s">
        <v>745</v>
      </c>
      <c r="F13" s="322" t="s">
        <v>746</v>
      </c>
      <c r="G13" s="323">
        <v>45344</v>
      </c>
      <c r="H13" s="322" t="s">
        <v>54</v>
      </c>
      <c r="I13" s="334" t="s">
        <v>57</v>
      </c>
      <c r="J13" s="334" t="s">
        <v>118</v>
      </c>
      <c r="K13" s="230" t="s">
        <v>417</v>
      </c>
      <c r="L13" s="324" t="s">
        <v>47</v>
      </c>
      <c r="M13" s="2">
        <v>1394282.91</v>
      </c>
      <c r="N13" s="2">
        <f>M13*0.2</f>
        <v>278856.58199999999</v>
      </c>
      <c r="O13" s="324" t="s">
        <v>79</v>
      </c>
      <c r="P13" s="2">
        <f>N13*0.5</f>
        <v>139428.291</v>
      </c>
      <c r="Q13" s="230" t="s">
        <v>27</v>
      </c>
      <c r="R13" s="2">
        <f>N13*0.5</f>
        <v>139428.291</v>
      </c>
      <c r="S13" s="230" t="s">
        <v>27</v>
      </c>
      <c r="T13" s="230" t="s">
        <v>27</v>
      </c>
      <c r="U13" s="230" t="s">
        <v>747</v>
      </c>
      <c r="V13" s="230"/>
      <c r="W13" s="230" t="s">
        <v>84</v>
      </c>
      <c r="X13" s="230"/>
    </row>
    <row r="14" spans="1:24" s="261" customFormat="1" ht="24" customHeight="1" x14ac:dyDescent="0.3">
      <c r="A14" s="230" t="s">
        <v>742</v>
      </c>
      <c r="B14" s="230" t="s">
        <v>743</v>
      </c>
      <c r="C14" s="247" t="s">
        <v>744</v>
      </c>
      <c r="D14" s="264"/>
      <c r="E14" s="265" t="s">
        <v>748</v>
      </c>
      <c r="F14" s="322" t="s">
        <v>749</v>
      </c>
      <c r="G14" s="323">
        <v>45344</v>
      </c>
      <c r="H14" s="322" t="s">
        <v>54</v>
      </c>
      <c r="I14" s="334" t="s">
        <v>213</v>
      </c>
      <c r="J14" s="334" t="s">
        <v>118</v>
      </c>
      <c r="K14" s="230" t="s">
        <v>417</v>
      </c>
      <c r="L14" s="324" t="s">
        <v>47</v>
      </c>
      <c r="M14" s="2">
        <v>178870.46</v>
      </c>
      <c r="N14" s="2">
        <f>M14*0.12</f>
        <v>21464.455199999997</v>
      </c>
      <c r="O14" s="324" t="s">
        <v>26</v>
      </c>
      <c r="P14" s="2">
        <v>0</v>
      </c>
      <c r="Q14" s="2"/>
      <c r="R14" s="2">
        <f>N14</f>
        <v>21464.455199999997</v>
      </c>
      <c r="S14" s="230" t="s">
        <v>27</v>
      </c>
      <c r="T14" s="230" t="s">
        <v>27</v>
      </c>
      <c r="U14" s="230"/>
      <c r="V14" s="230"/>
      <c r="W14" s="230" t="s">
        <v>84</v>
      </c>
      <c r="X14" s="230"/>
    </row>
    <row r="15" spans="1:24" s="261" customFormat="1" ht="24" customHeight="1" x14ac:dyDescent="0.3">
      <c r="A15" s="230" t="s">
        <v>835</v>
      </c>
      <c r="B15" s="230" t="s">
        <v>836</v>
      </c>
      <c r="C15" s="247" t="s">
        <v>837</v>
      </c>
      <c r="D15" s="264" t="s">
        <v>779</v>
      </c>
      <c r="E15" s="265" t="s">
        <v>838</v>
      </c>
      <c r="F15" s="322" t="s">
        <v>839</v>
      </c>
      <c r="G15" s="323">
        <v>45344</v>
      </c>
      <c r="H15" s="322" t="s">
        <v>54</v>
      </c>
      <c r="I15" s="334" t="s">
        <v>57</v>
      </c>
      <c r="J15" s="334" t="s">
        <v>118</v>
      </c>
      <c r="K15" s="230" t="s">
        <v>417</v>
      </c>
      <c r="L15" s="230" t="s">
        <v>47</v>
      </c>
      <c r="M15" s="2">
        <v>271489.65000000002</v>
      </c>
      <c r="N15" s="2">
        <f>M15*0.2</f>
        <v>54297.930000000008</v>
      </c>
      <c r="O15" s="230" t="s">
        <v>79</v>
      </c>
      <c r="P15" s="2">
        <f>N15*0.5</f>
        <v>27148.965000000004</v>
      </c>
      <c r="Q15" s="230" t="s">
        <v>27</v>
      </c>
      <c r="R15" s="2">
        <f>N15*0.5</f>
        <v>27148.965000000004</v>
      </c>
      <c r="S15" s="230" t="s">
        <v>27</v>
      </c>
      <c r="T15" s="230" t="s">
        <v>27</v>
      </c>
      <c r="U15" s="230" t="s">
        <v>747</v>
      </c>
      <c r="V15" s="230"/>
      <c r="W15" s="230" t="s">
        <v>28</v>
      </c>
      <c r="X15" s="230"/>
    </row>
    <row r="16" spans="1:24" s="176" customFormat="1" ht="24" customHeight="1" x14ac:dyDescent="0.3">
      <c r="A16" s="274" t="s">
        <v>504</v>
      </c>
      <c r="B16" s="274" t="s">
        <v>762</v>
      </c>
      <c r="C16" s="97" t="s">
        <v>763</v>
      </c>
      <c r="D16" s="97"/>
      <c r="E16" s="97"/>
      <c r="F16" s="242"/>
      <c r="G16" s="249"/>
      <c r="H16" s="242"/>
      <c r="I16" s="35" t="s">
        <v>71</v>
      </c>
      <c r="J16" s="335" t="s">
        <v>24</v>
      </c>
      <c r="K16" s="250"/>
      <c r="L16" s="250" t="s">
        <v>315</v>
      </c>
      <c r="M16" s="34">
        <v>0</v>
      </c>
      <c r="N16" s="251">
        <v>51724.14</v>
      </c>
      <c r="O16" s="250" t="s">
        <v>26</v>
      </c>
      <c r="P16" s="34">
        <v>0</v>
      </c>
      <c r="Q16" s="34"/>
      <c r="R16" s="34">
        <f>N16</f>
        <v>51724.14</v>
      </c>
      <c r="S16" s="31" t="s">
        <v>340</v>
      </c>
      <c r="T16" s="31" t="s">
        <v>340</v>
      </c>
      <c r="U16" s="46"/>
      <c r="V16" s="46"/>
      <c r="W16" s="250" t="s">
        <v>223</v>
      </c>
      <c r="X16" s="46"/>
    </row>
    <row r="17" spans="1:24" ht="24" customHeight="1" x14ac:dyDescent="0.3">
      <c r="A17" s="6" t="s">
        <v>354</v>
      </c>
      <c r="B17" s="46" t="s">
        <v>764</v>
      </c>
      <c r="C17" s="46"/>
      <c r="D17" s="46"/>
      <c r="E17" s="97"/>
      <c r="F17" s="253"/>
      <c r="G17" s="254"/>
      <c r="H17" s="253"/>
      <c r="I17" s="41" t="s">
        <v>57</v>
      </c>
      <c r="J17" s="53" t="s">
        <v>46</v>
      </c>
      <c r="K17" s="9"/>
      <c r="L17" s="29" t="s">
        <v>25</v>
      </c>
      <c r="M17" s="9"/>
      <c r="N17" s="9">
        <v>0</v>
      </c>
      <c r="O17" s="9" t="s">
        <v>72</v>
      </c>
      <c r="P17" s="9">
        <v>0</v>
      </c>
      <c r="Q17" s="34"/>
      <c r="R17" s="46">
        <v>0</v>
      </c>
      <c r="S17" s="46" t="s">
        <v>765</v>
      </c>
      <c r="T17" s="6"/>
      <c r="U17" s="6"/>
      <c r="V17" s="6"/>
      <c r="W17" s="6"/>
      <c r="X17" s="6"/>
    </row>
    <row r="18" spans="1:24" ht="24" customHeight="1" x14ac:dyDescent="0.3">
      <c r="A18" s="6" t="s">
        <v>354</v>
      </c>
      <c r="B18" s="46" t="s">
        <v>764</v>
      </c>
      <c r="C18" s="46"/>
      <c r="D18" s="46"/>
      <c r="E18" s="97"/>
      <c r="F18" s="253"/>
      <c r="G18" s="254"/>
      <c r="H18" s="253"/>
      <c r="I18" s="41" t="s">
        <v>57</v>
      </c>
      <c r="J18" s="53" t="s">
        <v>46</v>
      </c>
      <c r="K18" s="9"/>
      <c r="L18" s="29"/>
      <c r="M18" s="9"/>
      <c r="N18" s="9">
        <v>0</v>
      </c>
      <c r="O18" s="9" t="s">
        <v>72</v>
      </c>
      <c r="P18" s="9">
        <v>0</v>
      </c>
      <c r="Q18" s="34"/>
      <c r="R18" s="46">
        <v>0</v>
      </c>
      <c r="S18" s="46" t="s">
        <v>765</v>
      </c>
      <c r="T18" s="6"/>
      <c r="U18" s="6"/>
      <c r="V18" s="6"/>
      <c r="W18" s="6"/>
      <c r="X18" s="6"/>
    </row>
    <row r="19" spans="1:24" ht="24" customHeight="1" x14ac:dyDescent="0.3">
      <c r="A19" s="46" t="s">
        <v>525</v>
      </c>
      <c r="B19" s="6" t="s">
        <v>766</v>
      </c>
      <c r="C19" s="6" t="s">
        <v>767</v>
      </c>
      <c r="D19" s="6"/>
      <c r="E19" s="102"/>
      <c r="F19" s="253"/>
      <c r="G19" s="254"/>
      <c r="H19" s="253"/>
      <c r="I19" s="41" t="s">
        <v>768</v>
      </c>
      <c r="J19" s="45" t="s">
        <v>24</v>
      </c>
      <c r="K19" s="29"/>
      <c r="L19" s="29" t="s">
        <v>769</v>
      </c>
      <c r="M19" s="9"/>
      <c r="N19" s="53">
        <f>M19*0.2</f>
        <v>0</v>
      </c>
      <c r="O19" s="29" t="s">
        <v>26</v>
      </c>
      <c r="P19" s="9">
        <v>0</v>
      </c>
      <c r="Q19" s="34"/>
      <c r="R19" s="34">
        <f>N19</f>
        <v>0</v>
      </c>
      <c r="S19" s="252" t="s">
        <v>770</v>
      </c>
      <c r="T19" s="252" t="s">
        <v>770</v>
      </c>
      <c r="U19" s="6"/>
      <c r="V19" s="6"/>
      <c r="W19" s="6"/>
      <c r="X19" s="6"/>
    </row>
    <row r="20" spans="1:24" ht="24" customHeight="1" x14ac:dyDescent="0.3">
      <c r="A20" s="6" t="s">
        <v>771</v>
      </c>
      <c r="B20" s="6" t="s">
        <v>772</v>
      </c>
      <c r="C20" s="6"/>
      <c r="D20" s="6"/>
      <c r="E20" s="102"/>
      <c r="F20" s="253"/>
      <c r="G20" s="253"/>
      <c r="H20" s="253"/>
      <c r="I20" s="41" t="s">
        <v>57</v>
      </c>
      <c r="J20" s="41" t="s">
        <v>78</v>
      </c>
      <c r="K20" s="6"/>
      <c r="L20" s="29" t="s">
        <v>47</v>
      </c>
      <c r="M20" s="9"/>
      <c r="N20" s="9">
        <v>0</v>
      </c>
      <c r="O20" s="6" t="s">
        <v>79</v>
      </c>
      <c r="P20" s="6">
        <v>0</v>
      </c>
      <c r="Q20" s="6"/>
      <c r="R20" s="46">
        <v>0</v>
      </c>
      <c r="S20" s="46" t="s">
        <v>773</v>
      </c>
      <c r="T20" s="6"/>
      <c r="U20" s="6"/>
      <c r="V20" s="6"/>
      <c r="W20" s="6"/>
      <c r="X20" s="6"/>
    </row>
    <row r="21" spans="1:24" ht="24" customHeight="1" x14ac:dyDescent="0.3">
      <c r="A21" s="6" t="s">
        <v>771</v>
      </c>
      <c r="B21" s="6" t="s">
        <v>772</v>
      </c>
      <c r="C21" s="6"/>
      <c r="D21" s="6"/>
      <c r="E21" s="102"/>
      <c r="F21" s="253"/>
      <c r="G21" s="253"/>
      <c r="H21" s="253"/>
      <c r="I21" s="41" t="s">
        <v>281</v>
      </c>
      <c r="J21" s="41" t="s">
        <v>78</v>
      </c>
      <c r="K21" s="6"/>
      <c r="L21" s="29" t="s">
        <v>47</v>
      </c>
      <c r="M21" s="9"/>
      <c r="N21" s="9">
        <v>0</v>
      </c>
      <c r="O21" s="6" t="s">
        <v>79</v>
      </c>
      <c r="P21" s="6">
        <v>0</v>
      </c>
      <c r="Q21" s="6"/>
      <c r="R21" s="46">
        <v>0</v>
      </c>
      <c r="S21" s="46" t="s">
        <v>773</v>
      </c>
      <c r="T21" s="6"/>
      <c r="U21" s="6"/>
      <c r="V21" s="6"/>
      <c r="W21" s="6"/>
      <c r="X21" s="6"/>
    </row>
    <row r="22" spans="1:24" ht="24" customHeight="1" x14ac:dyDescent="0.3">
      <c r="A22" s="6" t="s">
        <v>774</v>
      </c>
      <c r="B22" s="6" t="s">
        <v>775</v>
      </c>
      <c r="C22" s="6"/>
      <c r="D22" s="6"/>
      <c r="E22" s="102"/>
      <c r="F22" s="253"/>
      <c r="G22" s="253"/>
      <c r="H22" s="253"/>
      <c r="I22" s="41" t="s">
        <v>57</v>
      </c>
      <c r="J22" s="41" t="s">
        <v>78</v>
      </c>
      <c r="K22" s="6"/>
      <c r="L22" s="29" t="s">
        <v>47</v>
      </c>
      <c r="M22" s="9"/>
      <c r="N22" s="9"/>
      <c r="O22" s="6" t="s">
        <v>79</v>
      </c>
      <c r="P22" s="9">
        <f>N22*0.5</f>
        <v>0</v>
      </c>
      <c r="Q22" s="6"/>
      <c r="R22" s="34">
        <f>N22*0.5</f>
        <v>0</v>
      </c>
      <c r="S22" s="46" t="s">
        <v>765</v>
      </c>
      <c r="T22" s="6"/>
      <c r="U22" s="6"/>
      <c r="V22" s="6"/>
      <c r="W22" s="6"/>
      <c r="X22" s="6"/>
    </row>
    <row r="23" spans="1:24" ht="24" customHeight="1" x14ac:dyDescent="0.3">
      <c r="A23" s="6" t="s">
        <v>774</v>
      </c>
      <c r="B23" s="6" t="s">
        <v>775</v>
      </c>
      <c r="C23" s="6"/>
      <c r="D23" s="6"/>
      <c r="E23" s="102"/>
      <c r="F23" s="253"/>
      <c r="G23" s="253"/>
      <c r="H23" s="253"/>
      <c r="I23" s="41" t="s">
        <v>213</v>
      </c>
      <c r="J23" s="41" t="s">
        <v>78</v>
      </c>
      <c r="K23" s="6"/>
      <c r="L23" s="29" t="s">
        <v>47</v>
      </c>
      <c r="M23" s="9"/>
      <c r="N23" s="9">
        <v>0</v>
      </c>
      <c r="O23" s="6" t="s">
        <v>72</v>
      </c>
      <c r="P23" s="6">
        <v>0</v>
      </c>
      <c r="Q23" s="6"/>
      <c r="R23" s="46">
        <v>0</v>
      </c>
      <c r="S23" s="46" t="s">
        <v>765</v>
      </c>
      <c r="T23" s="6"/>
      <c r="U23" s="6"/>
      <c r="V23" s="6"/>
      <c r="W23" s="6"/>
      <c r="X23" s="6"/>
    </row>
    <row r="24" spans="1:24" s="261" customFormat="1" ht="24" customHeight="1" x14ac:dyDescent="0.3">
      <c r="A24" s="230" t="s">
        <v>835</v>
      </c>
      <c r="B24" s="230" t="s">
        <v>836</v>
      </c>
      <c r="C24" s="247" t="s">
        <v>837</v>
      </c>
      <c r="D24" s="247" t="s">
        <v>779</v>
      </c>
      <c r="E24" s="272" t="s">
        <v>840</v>
      </c>
      <c r="F24" s="322" t="s">
        <v>841</v>
      </c>
      <c r="G24" s="323">
        <v>45344</v>
      </c>
      <c r="H24" s="322" t="s">
        <v>54</v>
      </c>
      <c r="I24" s="334" t="s">
        <v>213</v>
      </c>
      <c r="J24" s="334" t="s">
        <v>118</v>
      </c>
      <c r="K24" s="230" t="s">
        <v>417</v>
      </c>
      <c r="L24" s="230" t="s">
        <v>47</v>
      </c>
      <c r="M24" s="2">
        <v>82244.39</v>
      </c>
      <c r="N24" s="2">
        <f>M24*0.12</f>
        <v>9869.3267999999989</v>
      </c>
      <c r="O24" s="230" t="s">
        <v>26</v>
      </c>
      <c r="P24" s="2">
        <v>0</v>
      </c>
      <c r="Q24" s="2"/>
      <c r="R24" s="2">
        <f>N24</f>
        <v>9869.3267999999989</v>
      </c>
      <c r="S24" s="230" t="s">
        <v>27</v>
      </c>
      <c r="T24" s="230" t="s">
        <v>27</v>
      </c>
      <c r="U24" s="230"/>
      <c r="V24" s="230"/>
      <c r="W24" s="230" t="s">
        <v>28</v>
      </c>
      <c r="X24" s="230"/>
    </row>
    <row r="25" spans="1:24" s="261" customFormat="1" ht="24" customHeight="1" x14ac:dyDescent="0.3">
      <c r="A25" s="230" t="s">
        <v>891</v>
      </c>
      <c r="B25" s="230" t="s">
        <v>892</v>
      </c>
      <c r="C25" s="247" t="s">
        <v>893</v>
      </c>
      <c r="D25" s="247" t="s">
        <v>779</v>
      </c>
      <c r="E25" s="247" t="s">
        <v>894</v>
      </c>
      <c r="F25" s="322" t="s">
        <v>895</v>
      </c>
      <c r="G25" s="323">
        <v>45378</v>
      </c>
      <c r="H25" s="322" t="s">
        <v>28</v>
      </c>
      <c r="I25" s="334" t="s">
        <v>57</v>
      </c>
      <c r="J25" s="334" t="s">
        <v>118</v>
      </c>
      <c r="K25" s="230" t="s">
        <v>417</v>
      </c>
      <c r="L25" s="230" t="s">
        <v>47</v>
      </c>
      <c r="M25" s="2">
        <v>98336.55</v>
      </c>
      <c r="N25" s="2">
        <f>M25*0.2</f>
        <v>19667.310000000001</v>
      </c>
      <c r="O25" s="230" t="s">
        <v>79</v>
      </c>
      <c r="P25" s="2">
        <f>N25*0.5</f>
        <v>9833.6550000000007</v>
      </c>
      <c r="Q25" s="230" t="s">
        <v>27</v>
      </c>
      <c r="R25" s="2">
        <f>N25*0.5</f>
        <v>9833.6550000000007</v>
      </c>
      <c r="S25" s="230" t="s">
        <v>27</v>
      </c>
      <c r="T25" s="230" t="s">
        <v>27</v>
      </c>
      <c r="U25" s="230" t="s">
        <v>747</v>
      </c>
      <c r="V25" s="230"/>
      <c r="W25" s="230" t="s">
        <v>99</v>
      </c>
      <c r="X25" s="230"/>
    </row>
    <row r="26" spans="1:24" ht="24" customHeight="1" x14ac:dyDescent="0.3">
      <c r="A26" s="6" t="s">
        <v>786</v>
      </c>
      <c r="B26" s="6" t="s">
        <v>787</v>
      </c>
      <c r="C26" s="6"/>
      <c r="D26" s="6"/>
      <c r="E26" s="102"/>
      <c r="F26" s="253"/>
      <c r="G26" s="253"/>
      <c r="H26" s="253"/>
      <c r="I26" s="41" t="s">
        <v>213</v>
      </c>
      <c r="J26" s="41" t="s">
        <v>78</v>
      </c>
      <c r="K26" s="6"/>
      <c r="L26" s="29" t="s">
        <v>47</v>
      </c>
      <c r="M26" s="9"/>
      <c r="N26" s="9">
        <v>0</v>
      </c>
      <c r="O26" s="6" t="s">
        <v>79</v>
      </c>
      <c r="P26" s="6">
        <v>0</v>
      </c>
      <c r="Q26" s="6"/>
      <c r="R26" s="46">
        <v>0</v>
      </c>
      <c r="S26" s="46" t="s">
        <v>765</v>
      </c>
      <c r="T26" s="6" t="s">
        <v>765</v>
      </c>
      <c r="U26" s="6"/>
      <c r="V26" s="6"/>
      <c r="W26" s="6"/>
      <c r="X26" s="6"/>
    </row>
    <row r="27" spans="1:24" ht="24" customHeight="1" x14ac:dyDescent="0.3">
      <c r="A27" s="6" t="s">
        <v>788</v>
      </c>
      <c r="B27" s="6" t="s">
        <v>788</v>
      </c>
      <c r="C27" s="6"/>
      <c r="D27" s="6"/>
      <c r="E27" s="102"/>
      <c r="F27" s="253"/>
      <c r="G27" s="253"/>
      <c r="H27" s="253"/>
      <c r="I27" s="41" t="s">
        <v>57</v>
      </c>
      <c r="J27" s="41" t="s">
        <v>78</v>
      </c>
      <c r="K27" s="6"/>
      <c r="L27" s="6" t="s">
        <v>47</v>
      </c>
      <c r="M27" s="9"/>
      <c r="N27" s="9">
        <v>0</v>
      </c>
      <c r="O27" s="6" t="s">
        <v>79</v>
      </c>
      <c r="P27" s="6">
        <v>0</v>
      </c>
      <c r="Q27" s="6"/>
      <c r="R27" s="46">
        <v>0</v>
      </c>
      <c r="S27" s="46" t="s">
        <v>765</v>
      </c>
      <c r="T27" s="6"/>
      <c r="U27" s="6"/>
      <c r="V27" s="6"/>
      <c r="W27" s="6"/>
      <c r="X27" s="6"/>
    </row>
    <row r="28" spans="1:24" ht="24" customHeight="1" x14ac:dyDescent="0.3">
      <c r="A28" s="6" t="s">
        <v>788</v>
      </c>
      <c r="B28" s="6" t="s">
        <v>788</v>
      </c>
      <c r="C28" s="6"/>
      <c r="D28" s="6"/>
      <c r="E28" s="102"/>
      <c r="F28" s="253"/>
      <c r="G28" s="253"/>
      <c r="H28" s="253"/>
      <c r="I28" s="41" t="s">
        <v>213</v>
      </c>
      <c r="J28" s="41" t="s">
        <v>78</v>
      </c>
      <c r="K28" s="6"/>
      <c r="L28" s="6" t="s">
        <v>47</v>
      </c>
      <c r="M28" s="9"/>
      <c r="N28" s="9">
        <v>0</v>
      </c>
      <c r="O28" s="6" t="s">
        <v>79</v>
      </c>
      <c r="P28" s="6">
        <v>0</v>
      </c>
      <c r="Q28" s="6"/>
      <c r="R28" s="46">
        <v>0</v>
      </c>
      <c r="S28" s="46" t="s">
        <v>765</v>
      </c>
      <c r="T28" s="6"/>
      <c r="U28" s="6"/>
      <c r="V28" s="6"/>
      <c r="W28" s="6"/>
      <c r="X28" s="6"/>
    </row>
    <row r="29" spans="1:24" ht="24" customHeight="1" x14ac:dyDescent="0.3">
      <c r="A29" s="6" t="s">
        <v>171</v>
      </c>
      <c r="B29" s="6" t="s">
        <v>789</v>
      </c>
      <c r="C29" s="6"/>
      <c r="D29" s="6"/>
      <c r="E29" s="102"/>
      <c r="F29" s="253"/>
      <c r="G29" s="253"/>
      <c r="H29" s="253"/>
      <c r="I29" s="41" t="s">
        <v>57</v>
      </c>
      <c r="J29" s="41" t="s">
        <v>78</v>
      </c>
      <c r="K29" s="6"/>
      <c r="L29" s="6" t="s">
        <v>47</v>
      </c>
      <c r="M29" s="9"/>
      <c r="N29" s="9">
        <v>0</v>
      </c>
      <c r="O29" s="6" t="s">
        <v>79</v>
      </c>
      <c r="P29" s="6">
        <v>0</v>
      </c>
      <c r="Q29" s="6"/>
      <c r="R29" s="46">
        <v>0</v>
      </c>
      <c r="S29" s="46" t="s">
        <v>765</v>
      </c>
      <c r="T29" s="6" t="s">
        <v>765</v>
      </c>
      <c r="U29" s="6"/>
      <c r="V29" s="6"/>
      <c r="W29" s="6"/>
      <c r="X29" s="6"/>
    </row>
    <row r="30" spans="1:24" ht="24" customHeight="1" x14ac:dyDescent="0.3">
      <c r="A30" s="6" t="s">
        <v>171</v>
      </c>
      <c r="B30" s="6" t="s">
        <v>789</v>
      </c>
      <c r="C30" s="6"/>
      <c r="D30" s="6"/>
      <c r="E30" s="102"/>
      <c r="F30" s="253"/>
      <c r="G30" s="253"/>
      <c r="H30" s="253"/>
      <c r="I30" s="41" t="s">
        <v>213</v>
      </c>
      <c r="J30" s="41" t="s">
        <v>78</v>
      </c>
      <c r="K30" s="6"/>
      <c r="L30" s="6" t="s">
        <v>47</v>
      </c>
      <c r="M30" s="9"/>
      <c r="N30" s="9">
        <v>0</v>
      </c>
      <c r="O30" s="6" t="s">
        <v>79</v>
      </c>
      <c r="P30" s="6">
        <v>0</v>
      </c>
      <c r="Q30" s="6"/>
      <c r="R30" s="46">
        <v>0</v>
      </c>
      <c r="S30" s="46" t="s">
        <v>765</v>
      </c>
      <c r="T30" s="6" t="s">
        <v>765</v>
      </c>
      <c r="U30" s="6"/>
      <c r="V30" s="6"/>
      <c r="W30" s="6"/>
      <c r="X30" s="6"/>
    </row>
    <row r="31" spans="1:24" ht="24" customHeight="1" x14ac:dyDescent="0.3">
      <c r="A31" s="6" t="s">
        <v>790</v>
      </c>
      <c r="B31" s="6" t="s">
        <v>791</v>
      </c>
      <c r="C31" s="6"/>
      <c r="D31" s="6"/>
      <c r="E31" s="102" t="s">
        <v>792</v>
      </c>
      <c r="F31" s="253"/>
      <c r="G31" s="253"/>
      <c r="H31" s="253"/>
      <c r="I31" s="41" t="s">
        <v>57</v>
      </c>
      <c r="J31" s="41" t="s">
        <v>78</v>
      </c>
      <c r="K31" s="6"/>
      <c r="L31" s="6" t="s">
        <v>47</v>
      </c>
      <c r="M31" s="9"/>
      <c r="N31" s="9">
        <v>0</v>
      </c>
      <c r="O31" s="6" t="s">
        <v>79</v>
      </c>
      <c r="P31" s="6">
        <v>0</v>
      </c>
      <c r="Q31" s="6"/>
      <c r="R31" s="6">
        <v>0</v>
      </c>
      <c r="S31" s="6" t="s">
        <v>765</v>
      </c>
      <c r="T31" s="6" t="s">
        <v>765</v>
      </c>
      <c r="U31" s="6"/>
      <c r="V31" s="6"/>
      <c r="W31" s="6"/>
      <c r="X31" s="6"/>
    </row>
    <row r="32" spans="1:24" ht="41.1" customHeight="1" x14ac:dyDescent="0.3">
      <c r="A32" s="6" t="s">
        <v>790</v>
      </c>
      <c r="B32" s="6" t="s">
        <v>791</v>
      </c>
      <c r="C32" s="6"/>
      <c r="D32" s="6"/>
      <c r="E32" s="102"/>
      <c r="F32" s="253"/>
      <c r="G32" s="253"/>
      <c r="H32" s="253"/>
      <c r="I32" s="41" t="s">
        <v>213</v>
      </c>
      <c r="J32" s="41" t="s">
        <v>78</v>
      </c>
      <c r="K32" s="6"/>
      <c r="L32" s="6" t="s">
        <v>47</v>
      </c>
      <c r="M32" s="9"/>
      <c r="N32" s="9">
        <v>0</v>
      </c>
      <c r="O32" s="6" t="s">
        <v>72</v>
      </c>
      <c r="P32" s="6">
        <v>0</v>
      </c>
      <c r="Q32" s="6"/>
      <c r="R32" s="6">
        <v>0</v>
      </c>
      <c r="S32" s="6" t="s">
        <v>765</v>
      </c>
      <c r="T32" s="6" t="s">
        <v>765</v>
      </c>
      <c r="U32" s="6"/>
      <c r="V32" s="6"/>
      <c r="W32" s="6"/>
      <c r="X32" s="6"/>
    </row>
    <row r="33" spans="1:24" s="261" customFormat="1" ht="24" customHeight="1" x14ac:dyDescent="0.3">
      <c r="A33" s="230" t="s">
        <v>891</v>
      </c>
      <c r="B33" s="230" t="s">
        <v>892</v>
      </c>
      <c r="C33" s="247" t="s">
        <v>893</v>
      </c>
      <c r="D33" s="264" t="s">
        <v>779</v>
      </c>
      <c r="E33" s="264" t="s">
        <v>894</v>
      </c>
      <c r="F33" s="322" t="s">
        <v>896</v>
      </c>
      <c r="G33" s="323">
        <v>45378</v>
      </c>
      <c r="H33" s="322" t="s">
        <v>28</v>
      </c>
      <c r="I33" s="334" t="s">
        <v>213</v>
      </c>
      <c r="J33" s="334" t="s">
        <v>118</v>
      </c>
      <c r="K33" s="230" t="s">
        <v>417</v>
      </c>
      <c r="L33" s="230" t="s">
        <v>47</v>
      </c>
      <c r="M33" s="2">
        <v>56986.3</v>
      </c>
      <c r="N33" s="2">
        <f>M33*0.12</f>
        <v>6838.3559999999998</v>
      </c>
      <c r="O33" s="230" t="s">
        <v>26</v>
      </c>
      <c r="P33" s="2">
        <v>0</v>
      </c>
      <c r="Q33" s="2"/>
      <c r="R33" s="2">
        <f>N33</f>
        <v>6838.3559999999998</v>
      </c>
      <c r="S33" s="230" t="s">
        <v>27</v>
      </c>
      <c r="T33" s="230" t="s">
        <v>27</v>
      </c>
      <c r="U33" s="230"/>
      <c r="V33" s="230"/>
      <c r="W33" s="230" t="s">
        <v>99</v>
      </c>
      <c r="X33" s="230"/>
    </row>
    <row r="34" spans="1:24" s="176" customFormat="1" ht="24" customHeight="1" x14ac:dyDescent="0.3">
      <c r="A34" s="46" t="s">
        <v>796</v>
      </c>
      <c r="B34" s="46" t="s">
        <v>797</v>
      </c>
      <c r="C34" s="97" t="s">
        <v>798</v>
      </c>
      <c r="D34" s="130"/>
      <c r="E34" s="265" t="s">
        <v>799</v>
      </c>
      <c r="F34" s="242" t="s">
        <v>800</v>
      </c>
      <c r="G34" s="249">
        <v>45345</v>
      </c>
      <c r="H34" s="242" t="s">
        <v>54</v>
      </c>
      <c r="I34" s="35" t="s">
        <v>57</v>
      </c>
      <c r="J34" s="35" t="s">
        <v>78</v>
      </c>
      <c r="K34" s="46"/>
      <c r="L34" s="34" t="s">
        <v>47</v>
      </c>
      <c r="M34" s="34">
        <v>1122273.3999999999</v>
      </c>
      <c r="N34" s="34">
        <f>M34*0.15</f>
        <v>168341.00999999998</v>
      </c>
      <c r="O34" s="46" t="s">
        <v>79</v>
      </c>
      <c r="P34" s="34">
        <f>N34*0.3333</f>
        <v>56108.058632999993</v>
      </c>
      <c r="Q34" s="31" t="s">
        <v>340</v>
      </c>
      <c r="R34" s="34">
        <f>N34*0.6667</f>
        <v>112232.95136699999</v>
      </c>
      <c r="S34" s="46" t="s">
        <v>27</v>
      </c>
      <c r="T34" s="46" t="s">
        <v>27</v>
      </c>
      <c r="U34" s="46"/>
      <c r="V34" s="46"/>
      <c r="W34" s="46" t="s">
        <v>28</v>
      </c>
      <c r="X34" s="46"/>
    </row>
    <row r="35" spans="1:24" ht="28.35" customHeight="1" x14ac:dyDescent="0.3">
      <c r="A35" s="6" t="s">
        <v>801</v>
      </c>
      <c r="B35" s="46" t="s">
        <v>802</v>
      </c>
      <c r="C35" s="97" t="s">
        <v>803</v>
      </c>
      <c r="D35" s="97"/>
      <c r="E35" s="97" t="s">
        <v>804</v>
      </c>
      <c r="F35" s="240" t="s">
        <v>805</v>
      </c>
      <c r="G35" s="241">
        <v>45442</v>
      </c>
      <c r="H35" s="243" t="s">
        <v>84</v>
      </c>
      <c r="I35" s="41" t="s">
        <v>71</v>
      </c>
      <c r="J35" s="45" t="s">
        <v>24</v>
      </c>
      <c r="K35" s="29"/>
      <c r="L35" s="6" t="s">
        <v>315</v>
      </c>
      <c r="M35" s="9">
        <v>240000</v>
      </c>
      <c r="N35" s="53">
        <v>24563.7</v>
      </c>
      <c r="O35" s="29" t="s">
        <v>26</v>
      </c>
      <c r="P35" s="9">
        <v>0</v>
      </c>
      <c r="Q35" s="9"/>
      <c r="R35" s="9">
        <f>N35</f>
        <v>24563.7</v>
      </c>
      <c r="S35" s="50" t="s">
        <v>27</v>
      </c>
      <c r="T35" s="50" t="s">
        <v>27</v>
      </c>
      <c r="U35" s="6"/>
      <c r="V35" s="6"/>
      <c r="W35" s="6" t="s">
        <v>209</v>
      </c>
      <c r="X35" s="6"/>
    </row>
    <row r="36" spans="1:24" s="261" customFormat="1" ht="29.85" customHeight="1" x14ac:dyDescent="0.3">
      <c r="A36" s="230" t="s">
        <v>817</v>
      </c>
      <c r="B36" s="230" t="s">
        <v>822</v>
      </c>
      <c r="C36" s="247" t="s">
        <v>823</v>
      </c>
      <c r="D36" s="247" t="s">
        <v>824</v>
      </c>
      <c r="E36" s="272" t="s">
        <v>825</v>
      </c>
      <c r="F36" s="322" t="s">
        <v>826</v>
      </c>
      <c r="G36" s="323">
        <v>45400</v>
      </c>
      <c r="H36" s="322" t="s">
        <v>99</v>
      </c>
      <c r="I36" s="334" t="s">
        <v>57</v>
      </c>
      <c r="J36" s="334" t="s">
        <v>118</v>
      </c>
      <c r="K36" s="230" t="s">
        <v>417</v>
      </c>
      <c r="L36" s="230" t="s">
        <v>47</v>
      </c>
      <c r="M36" s="2">
        <v>274188.65000000002</v>
      </c>
      <c r="N36" s="2">
        <f>M36*0.2</f>
        <v>54837.73000000001</v>
      </c>
      <c r="O36" s="324" t="s">
        <v>79</v>
      </c>
      <c r="P36" s="2">
        <f>N36*0.5</f>
        <v>27418.865000000005</v>
      </c>
      <c r="Q36" s="230" t="s">
        <v>27</v>
      </c>
      <c r="R36" s="2">
        <f>N36*0.5</f>
        <v>27418.865000000005</v>
      </c>
      <c r="S36" s="230" t="s">
        <v>27</v>
      </c>
      <c r="T36" s="230" t="s">
        <v>27</v>
      </c>
      <c r="U36" s="230" t="s">
        <v>827</v>
      </c>
      <c r="V36" s="230"/>
      <c r="W36" s="230" t="s">
        <v>84</v>
      </c>
      <c r="X36" s="230"/>
    </row>
    <row r="37" spans="1:24" s="261" customFormat="1" ht="32.1" customHeight="1" x14ac:dyDescent="0.3">
      <c r="A37" s="230" t="s">
        <v>817</v>
      </c>
      <c r="B37" s="230" t="s">
        <v>822</v>
      </c>
      <c r="C37" s="247" t="s">
        <v>823</v>
      </c>
      <c r="D37" s="247"/>
      <c r="E37" s="247" t="s">
        <v>828</v>
      </c>
      <c r="F37" s="322">
        <v>4</v>
      </c>
      <c r="G37" s="323">
        <v>45400</v>
      </c>
      <c r="H37" s="322" t="s">
        <v>99</v>
      </c>
      <c r="I37" s="334" t="s">
        <v>213</v>
      </c>
      <c r="J37" s="334" t="s">
        <v>118</v>
      </c>
      <c r="K37" s="230" t="s">
        <v>417</v>
      </c>
      <c r="L37" s="230" t="s">
        <v>47</v>
      </c>
      <c r="M37" s="2">
        <v>33364.980000000003</v>
      </c>
      <c r="N37" s="2">
        <f>M37*0.12</f>
        <v>4003.7976000000003</v>
      </c>
      <c r="O37" s="324" t="s">
        <v>26</v>
      </c>
      <c r="P37" s="2">
        <v>0</v>
      </c>
      <c r="Q37" s="2"/>
      <c r="R37" s="2">
        <f>N37</f>
        <v>4003.7976000000003</v>
      </c>
      <c r="S37" s="230" t="s">
        <v>27</v>
      </c>
      <c r="T37" s="230" t="s">
        <v>27</v>
      </c>
      <c r="U37" s="230"/>
      <c r="V37" s="230"/>
      <c r="W37" s="230" t="s">
        <v>84</v>
      </c>
      <c r="X37" s="230"/>
    </row>
    <row r="38" spans="1:24" s="176" customFormat="1" ht="24" customHeight="1" x14ac:dyDescent="0.3">
      <c r="A38" s="46" t="s">
        <v>796</v>
      </c>
      <c r="B38" s="46" t="s">
        <v>797</v>
      </c>
      <c r="C38" s="97" t="s">
        <v>814</v>
      </c>
      <c r="D38" s="97"/>
      <c r="E38" s="268" t="s">
        <v>815</v>
      </c>
      <c r="F38" s="242" t="s">
        <v>816</v>
      </c>
      <c r="G38" s="249">
        <v>45345</v>
      </c>
      <c r="H38" s="242" t="s">
        <v>54</v>
      </c>
      <c r="I38" s="35" t="s">
        <v>213</v>
      </c>
      <c r="J38" s="35" t="s">
        <v>78</v>
      </c>
      <c r="K38" s="46"/>
      <c r="L38" s="34" t="s">
        <v>47</v>
      </c>
      <c r="M38" s="34">
        <v>349800</v>
      </c>
      <c r="N38" s="34">
        <f>M38*0.12</f>
        <v>41976</v>
      </c>
      <c r="O38" s="46" t="s">
        <v>26</v>
      </c>
      <c r="P38" s="34">
        <v>0</v>
      </c>
      <c r="Q38" s="34"/>
      <c r="R38" s="34">
        <f>N38</f>
        <v>41976</v>
      </c>
      <c r="S38" s="46" t="s">
        <v>27</v>
      </c>
      <c r="T38" s="46" t="s">
        <v>27</v>
      </c>
      <c r="U38" s="46"/>
      <c r="V38" s="46"/>
      <c r="W38" s="46" t="s">
        <v>28</v>
      </c>
      <c r="X38" s="46"/>
    </row>
    <row r="39" spans="1:24" s="176" customFormat="1" ht="24" customHeight="1" x14ac:dyDescent="0.3">
      <c r="A39" s="46" t="s">
        <v>817</v>
      </c>
      <c r="B39" s="46" t="s">
        <v>818</v>
      </c>
      <c r="C39" s="97" t="s">
        <v>819</v>
      </c>
      <c r="D39" s="97"/>
      <c r="E39" s="97" t="s">
        <v>820</v>
      </c>
      <c r="F39" s="242" t="s">
        <v>821</v>
      </c>
      <c r="G39" s="249">
        <v>45467</v>
      </c>
      <c r="H39" s="242" t="s">
        <v>54</v>
      </c>
      <c r="I39" s="35" t="s">
        <v>71</v>
      </c>
      <c r="J39" s="35" t="s">
        <v>24</v>
      </c>
      <c r="K39" s="46"/>
      <c r="L39" s="46" t="s">
        <v>25</v>
      </c>
      <c r="M39" s="34">
        <v>248093.55</v>
      </c>
      <c r="N39" s="34">
        <f>M39*0.15</f>
        <v>37214.032499999994</v>
      </c>
      <c r="O39" s="250" t="s">
        <v>26</v>
      </c>
      <c r="P39" s="34">
        <v>0</v>
      </c>
      <c r="Q39" s="34"/>
      <c r="R39" s="34">
        <f>N39</f>
        <v>37214.032499999994</v>
      </c>
      <c r="S39" s="46" t="s">
        <v>27</v>
      </c>
      <c r="T39" s="46" t="s">
        <v>27</v>
      </c>
      <c r="U39" s="46"/>
      <c r="V39" s="46"/>
      <c r="W39" s="46" t="s">
        <v>144</v>
      </c>
      <c r="X39" s="46"/>
    </row>
    <row r="40" spans="1:24" s="261" customFormat="1" ht="26.1" customHeight="1" x14ac:dyDescent="0.3">
      <c r="A40" s="230" t="s">
        <v>742</v>
      </c>
      <c r="B40" s="230" t="s">
        <v>858</v>
      </c>
      <c r="C40" s="247" t="s">
        <v>859</v>
      </c>
      <c r="D40" s="247" t="s">
        <v>779</v>
      </c>
      <c r="E40" s="272" t="s">
        <v>860</v>
      </c>
      <c r="F40" s="322" t="s">
        <v>861</v>
      </c>
      <c r="G40" s="323">
        <v>45408</v>
      </c>
      <c r="H40" s="322" t="s">
        <v>99</v>
      </c>
      <c r="I40" s="334" t="s">
        <v>57</v>
      </c>
      <c r="J40" s="334" t="s">
        <v>118</v>
      </c>
      <c r="K40" s="230" t="s">
        <v>417</v>
      </c>
      <c r="L40" s="230" t="s">
        <v>47</v>
      </c>
      <c r="M40" s="2">
        <v>710480.56</v>
      </c>
      <c r="N40" s="2">
        <f>M40*0.2</f>
        <v>142096.11200000002</v>
      </c>
      <c r="O40" s="230" t="s">
        <v>79</v>
      </c>
      <c r="P40" s="2">
        <f>N40/2</f>
        <v>71048.056000000011</v>
      </c>
      <c r="Q40" s="230" t="s">
        <v>27</v>
      </c>
      <c r="R40" s="2">
        <f>N40-P40</f>
        <v>71048.056000000011</v>
      </c>
      <c r="S40" s="230" t="s">
        <v>27</v>
      </c>
      <c r="T40" s="230" t="s">
        <v>27</v>
      </c>
      <c r="U40" s="230" t="s">
        <v>827</v>
      </c>
      <c r="V40" s="230"/>
      <c r="W40" s="230" t="s">
        <v>73</v>
      </c>
      <c r="X40" s="230"/>
    </row>
    <row r="41" spans="1:24" s="176" customFormat="1" ht="1.35" customHeight="1" x14ac:dyDescent="0.3">
      <c r="A41" s="46" t="s">
        <v>742</v>
      </c>
      <c r="B41" s="46" t="s">
        <v>858</v>
      </c>
      <c r="C41" s="97" t="s">
        <v>859</v>
      </c>
      <c r="D41" s="97" t="s">
        <v>779</v>
      </c>
      <c r="E41" s="97" t="s">
        <v>862</v>
      </c>
      <c r="F41" s="242" t="s">
        <v>863</v>
      </c>
      <c r="G41" s="249">
        <v>45408</v>
      </c>
      <c r="H41" s="242" t="s">
        <v>99</v>
      </c>
      <c r="I41" s="35" t="s">
        <v>213</v>
      </c>
      <c r="J41" s="35" t="s">
        <v>118</v>
      </c>
      <c r="K41" s="46" t="s">
        <v>417</v>
      </c>
      <c r="L41" s="46" t="s">
        <v>47</v>
      </c>
      <c r="M41" s="34">
        <v>202806.88</v>
      </c>
      <c r="N41" s="34">
        <f>M41*0.12</f>
        <v>24336.8256</v>
      </c>
      <c r="O41" s="250" t="s">
        <v>26</v>
      </c>
      <c r="P41" s="34">
        <v>0</v>
      </c>
      <c r="Q41" s="34"/>
      <c r="R41" s="34">
        <f>N41</f>
        <v>24336.8256</v>
      </c>
      <c r="S41" s="46" t="s">
        <v>27</v>
      </c>
      <c r="T41" s="46" t="s">
        <v>27</v>
      </c>
      <c r="U41" s="46"/>
      <c r="V41" s="46"/>
      <c r="W41" s="46" t="s">
        <v>84</v>
      </c>
      <c r="X41" s="46"/>
    </row>
    <row r="42" spans="1:24" s="261" customFormat="1" ht="24" customHeight="1" x14ac:dyDescent="0.3">
      <c r="A42" s="230" t="s">
        <v>742</v>
      </c>
      <c r="B42" s="230" t="s">
        <v>870</v>
      </c>
      <c r="C42" s="247" t="s">
        <v>871</v>
      </c>
      <c r="D42" s="247" t="s">
        <v>779</v>
      </c>
      <c r="E42" s="247" t="s">
        <v>872</v>
      </c>
      <c r="F42" s="322" t="s">
        <v>873</v>
      </c>
      <c r="G42" s="323">
        <v>45441</v>
      </c>
      <c r="H42" s="322" t="s">
        <v>84</v>
      </c>
      <c r="I42" s="334" t="s">
        <v>57</v>
      </c>
      <c r="J42" s="336" t="s">
        <v>118</v>
      </c>
      <c r="K42" s="230" t="s">
        <v>417</v>
      </c>
      <c r="L42" s="230" t="s">
        <v>47</v>
      </c>
      <c r="M42" s="2">
        <v>290997.23</v>
      </c>
      <c r="N42" s="326">
        <f>M42*0.2</f>
        <v>58199.445999999996</v>
      </c>
      <c r="O42" s="324" t="s">
        <v>79</v>
      </c>
      <c r="P42" s="2">
        <f>N42*0.5</f>
        <v>29099.722999999998</v>
      </c>
      <c r="Q42" s="230" t="s">
        <v>27</v>
      </c>
      <c r="R42" s="2">
        <f>N42*0.5</f>
        <v>29099.722999999998</v>
      </c>
      <c r="S42" s="230" t="s">
        <v>27</v>
      </c>
      <c r="T42" s="230" t="s">
        <v>27</v>
      </c>
      <c r="U42" s="230" t="s">
        <v>874</v>
      </c>
      <c r="V42" s="230"/>
      <c r="W42" s="230" t="s">
        <v>209</v>
      </c>
      <c r="X42" s="230"/>
    </row>
    <row r="43" spans="1:24" s="261" customFormat="1" ht="24" customHeight="1" x14ac:dyDescent="0.3">
      <c r="A43" s="230" t="s">
        <v>742</v>
      </c>
      <c r="B43" s="230" t="s">
        <v>870</v>
      </c>
      <c r="C43" s="247" t="s">
        <v>875</v>
      </c>
      <c r="D43" s="247" t="s">
        <v>779</v>
      </c>
      <c r="E43" s="247" t="s">
        <v>876</v>
      </c>
      <c r="F43" s="322" t="s">
        <v>877</v>
      </c>
      <c r="G43" s="323">
        <v>45441</v>
      </c>
      <c r="H43" s="322" t="s">
        <v>84</v>
      </c>
      <c r="I43" s="334" t="s">
        <v>213</v>
      </c>
      <c r="J43" s="334" t="s">
        <v>118</v>
      </c>
      <c r="K43" s="230" t="s">
        <v>417</v>
      </c>
      <c r="L43" s="230" t="s">
        <v>47</v>
      </c>
      <c r="M43" s="2">
        <v>55294.7</v>
      </c>
      <c r="N43" s="2">
        <f>M43*0.12</f>
        <v>6635.3639999999996</v>
      </c>
      <c r="O43" s="230" t="s">
        <v>26</v>
      </c>
      <c r="P43" s="2">
        <v>0</v>
      </c>
      <c r="Q43" s="2"/>
      <c r="R43" s="2">
        <f>N43</f>
        <v>6635.3639999999996</v>
      </c>
      <c r="S43" s="230" t="s">
        <v>27</v>
      </c>
      <c r="T43" s="230" t="s">
        <v>27</v>
      </c>
      <c r="U43" s="230"/>
      <c r="V43" s="230"/>
      <c r="W43" s="230" t="s">
        <v>119</v>
      </c>
      <c r="X43" s="230"/>
    </row>
    <row r="44" spans="1:24" s="261" customFormat="1" ht="24" customHeight="1" x14ac:dyDescent="0.3">
      <c r="A44" s="230" t="s">
        <v>909</v>
      </c>
      <c r="B44" s="230" t="s">
        <v>910</v>
      </c>
      <c r="C44" s="247" t="s">
        <v>911</v>
      </c>
      <c r="D44" s="247" t="s">
        <v>779</v>
      </c>
      <c r="E44" s="247" t="s">
        <v>912</v>
      </c>
      <c r="F44" s="322" t="s">
        <v>913</v>
      </c>
      <c r="G44" s="323">
        <v>45463</v>
      </c>
      <c r="H44" s="322" t="s">
        <v>119</v>
      </c>
      <c r="I44" s="334" t="s">
        <v>57</v>
      </c>
      <c r="J44" s="334" t="s">
        <v>118</v>
      </c>
      <c r="K44" s="230" t="s">
        <v>417</v>
      </c>
      <c r="L44" s="230" t="s">
        <v>47</v>
      </c>
      <c r="M44" s="2">
        <v>760286.65</v>
      </c>
      <c r="N44" s="2">
        <f>M44*0.2</f>
        <v>152057.33000000002</v>
      </c>
      <c r="O44" s="324" t="s">
        <v>79</v>
      </c>
      <c r="P44" s="2">
        <f>N44*0.5</f>
        <v>76028.665000000008</v>
      </c>
      <c r="Q44" s="230" t="s">
        <v>27</v>
      </c>
      <c r="R44" s="2">
        <f>N44*0.5</f>
        <v>76028.665000000008</v>
      </c>
      <c r="S44" s="230" t="s">
        <v>27</v>
      </c>
      <c r="T44" s="230" t="s">
        <v>27</v>
      </c>
      <c r="U44" s="230" t="s">
        <v>874</v>
      </c>
      <c r="V44" s="230"/>
      <c r="W44" s="230" t="s">
        <v>144</v>
      </c>
      <c r="X44" s="230"/>
    </row>
    <row r="45" spans="1:24" s="261" customFormat="1" ht="24" customHeight="1" x14ac:dyDescent="0.3">
      <c r="A45" s="230" t="s">
        <v>909</v>
      </c>
      <c r="B45" s="230" t="s">
        <v>910</v>
      </c>
      <c r="C45" s="247" t="s">
        <v>911</v>
      </c>
      <c r="D45" s="247" t="s">
        <v>779</v>
      </c>
      <c r="E45" s="272" t="s">
        <v>912</v>
      </c>
      <c r="F45" s="322" t="s">
        <v>914</v>
      </c>
      <c r="G45" s="323">
        <v>45463</v>
      </c>
      <c r="H45" s="322" t="s">
        <v>119</v>
      </c>
      <c r="I45" s="334" t="s">
        <v>213</v>
      </c>
      <c r="J45" s="334" t="s">
        <v>118</v>
      </c>
      <c r="K45" s="230" t="s">
        <v>417</v>
      </c>
      <c r="L45" s="230" t="s">
        <v>47</v>
      </c>
      <c r="M45" s="2">
        <v>120858.42</v>
      </c>
      <c r="N45" s="2">
        <f>M45*0.12</f>
        <v>14503.010399999999</v>
      </c>
      <c r="O45" s="324" t="s">
        <v>26</v>
      </c>
      <c r="P45" s="2">
        <v>0</v>
      </c>
      <c r="Q45" s="2"/>
      <c r="R45" s="2">
        <f>N45</f>
        <v>14503.010399999999</v>
      </c>
      <c r="S45" s="230" t="s">
        <v>27</v>
      </c>
      <c r="T45" s="230" t="s">
        <v>27</v>
      </c>
      <c r="U45" s="230"/>
      <c r="V45" s="230"/>
      <c r="W45" s="230" t="s">
        <v>144</v>
      </c>
      <c r="X45" s="230"/>
    </row>
    <row r="46" spans="1:24" s="176" customFormat="1" ht="24" customHeight="1" x14ac:dyDescent="0.3">
      <c r="A46" s="46" t="s">
        <v>817</v>
      </c>
      <c r="B46" s="46" t="s">
        <v>818</v>
      </c>
      <c r="C46" s="97" t="s">
        <v>842</v>
      </c>
      <c r="D46" s="97"/>
      <c r="E46" s="268" t="s">
        <v>843</v>
      </c>
      <c r="F46" s="242" t="s">
        <v>844</v>
      </c>
      <c r="G46" s="249">
        <v>45339</v>
      </c>
      <c r="H46" s="242" t="s">
        <v>54</v>
      </c>
      <c r="I46" s="35" t="s">
        <v>57</v>
      </c>
      <c r="J46" s="35" t="s">
        <v>24</v>
      </c>
      <c r="K46" s="46"/>
      <c r="L46" s="46" t="s">
        <v>25</v>
      </c>
      <c r="M46" s="34">
        <v>369208.77</v>
      </c>
      <c r="N46" s="34">
        <f>M46*0.15</f>
        <v>55381.315500000004</v>
      </c>
      <c r="O46" s="46" t="s">
        <v>26</v>
      </c>
      <c r="P46" s="34">
        <v>0</v>
      </c>
      <c r="Q46" s="34"/>
      <c r="R46" s="34">
        <f>N46</f>
        <v>55381.315500000004</v>
      </c>
      <c r="S46" s="46" t="s">
        <v>27</v>
      </c>
      <c r="T46" s="46" t="s">
        <v>27</v>
      </c>
      <c r="U46" s="46"/>
      <c r="V46" s="46"/>
      <c r="W46" s="46" t="s">
        <v>28</v>
      </c>
      <c r="X46" s="46"/>
    </row>
    <row r="47" spans="1:24" s="176" customFormat="1" ht="24" customHeight="1" x14ac:dyDescent="0.3">
      <c r="A47" s="46" t="s">
        <v>409</v>
      </c>
      <c r="B47" s="46" t="s">
        <v>845</v>
      </c>
      <c r="C47" s="97" t="s">
        <v>711</v>
      </c>
      <c r="D47" s="97"/>
      <c r="E47" s="97" t="s">
        <v>846</v>
      </c>
      <c r="F47" s="242" t="s">
        <v>847</v>
      </c>
      <c r="G47" s="249">
        <v>45351</v>
      </c>
      <c r="H47" s="242" t="s">
        <v>54</v>
      </c>
      <c r="I47" s="35" t="s">
        <v>53</v>
      </c>
      <c r="J47" s="35" t="s">
        <v>24</v>
      </c>
      <c r="K47" s="46"/>
      <c r="L47" s="46" t="s">
        <v>25</v>
      </c>
      <c r="M47" s="34">
        <v>50314.69</v>
      </c>
      <c r="N47" s="34">
        <f>M47*0.15</f>
        <v>7547.2034999999996</v>
      </c>
      <c r="O47" s="46" t="s">
        <v>26</v>
      </c>
      <c r="P47" s="34">
        <v>0</v>
      </c>
      <c r="Q47" s="34"/>
      <c r="R47" s="34">
        <f>N47</f>
        <v>7547.2034999999996</v>
      </c>
      <c r="S47" s="46" t="s">
        <v>27</v>
      </c>
      <c r="T47" s="46" t="s">
        <v>27</v>
      </c>
      <c r="U47" s="46"/>
      <c r="V47" s="46"/>
      <c r="W47" s="46" t="s">
        <v>28</v>
      </c>
      <c r="X47" s="46"/>
    </row>
    <row r="48" spans="1:24" s="176" customFormat="1" ht="24" customHeight="1" x14ac:dyDescent="0.3">
      <c r="A48" s="46" t="s">
        <v>848</v>
      </c>
      <c r="B48" s="46" t="s">
        <v>849</v>
      </c>
      <c r="C48" s="97" t="s">
        <v>711</v>
      </c>
      <c r="D48" s="97"/>
      <c r="E48" s="268" t="s">
        <v>850</v>
      </c>
      <c r="F48" s="267" t="s">
        <v>851</v>
      </c>
      <c r="G48" s="249">
        <v>45345</v>
      </c>
      <c r="H48" s="242" t="s">
        <v>54</v>
      </c>
      <c r="I48" s="35" t="s">
        <v>57</v>
      </c>
      <c r="J48" s="35" t="s">
        <v>46</v>
      </c>
      <c r="K48" s="46"/>
      <c r="L48" s="46" t="s">
        <v>25</v>
      </c>
      <c r="M48" s="34">
        <v>966933.43</v>
      </c>
      <c r="N48" s="34">
        <f>M48*0.15</f>
        <v>145040.01449999999</v>
      </c>
      <c r="O48" s="250" t="s">
        <v>72</v>
      </c>
      <c r="P48" s="34">
        <f>N48*0.6</f>
        <v>87024.008699999991</v>
      </c>
      <c r="Q48" s="46" t="s">
        <v>27</v>
      </c>
      <c r="R48" s="34">
        <f>N48*0.4</f>
        <v>58016.005799999999</v>
      </c>
      <c r="S48" s="46" t="s">
        <v>27</v>
      </c>
      <c r="T48" s="46" t="s">
        <v>27</v>
      </c>
      <c r="U48" s="46"/>
      <c r="V48" s="46"/>
      <c r="W48" s="46" t="s">
        <v>84</v>
      </c>
      <c r="X48" s="46"/>
    </row>
    <row r="49" spans="1:24" s="176" customFormat="1" ht="24" customHeight="1" x14ac:dyDescent="0.3">
      <c r="A49" s="46" t="s">
        <v>848</v>
      </c>
      <c r="B49" s="46" t="s">
        <v>849</v>
      </c>
      <c r="C49" s="97" t="s">
        <v>711</v>
      </c>
      <c r="D49" s="97"/>
      <c r="E49" s="97" t="s">
        <v>852</v>
      </c>
      <c r="F49" s="242" t="s">
        <v>853</v>
      </c>
      <c r="G49" s="249">
        <v>45801</v>
      </c>
      <c r="H49" s="242" t="s">
        <v>84</v>
      </c>
      <c r="I49" s="35" t="s">
        <v>71</v>
      </c>
      <c r="J49" s="35" t="s">
        <v>46</v>
      </c>
      <c r="K49" s="46"/>
      <c r="L49" s="46" t="s">
        <v>25</v>
      </c>
      <c r="M49" s="34">
        <v>340434</v>
      </c>
      <c r="N49" s="34">
        <f>M49*0.15</f>
        <v>51065.1</v>
      </c>
      <c r="O49" s="250" t="s">
        <v>72</v>
      </c>
      <c r="P49" s="34">
        <f>N49*0.6</f>
        <v>30639.059999999998</v>
      </c>
      <c r="Q49" s="46" t="s">
        <v>27</v>
      </c>
      <c r="R49" s="34">
        <f>N49*0.4</f>
        <v>20426.04</v>
      </c>
      <c r="S49" s="46" t="s">
        <v>27</v>
      </c>
      <c r="T49" s="46" t="s">
        <v>27</v>
      </c>
      <c r="U49" s="46"/>
      <c r="V49" s="46"/>
      <c r="W49" s="46" t="s">
        <v>84</v>
      </c>
      <c r="X49" s="46"/>
    </row>
    <row r="50" spans="1:24" s="261" customFormat="1" ht="24" customHeight="1" x14ac:dyDescent="0.3">
      <c r="A50" s="230" t="s">
        <v>806</v>
      </c>
      <c r="B50" s="230" t="s">
        <v>807</v>
      </c>
      <c r="C50" s="247" t="s">
        <v>808</v>
      </c>
      <c r="D50" s="247" t="s">
        <v>779</v>
      </c>
      <c r="E50" s="272" t="s">
        <v>809</v>
      </c>
      <c r="F50" s="322" t="s">
        <v>810</v>
      </c>
      <c r="G50" s="323">
        <v>45481</v>
      </c>
      <c r="H50" s="322" t="s">
        <v>144</v>
      </c>
      <c r="I50" s="334" t="s">
        <v>57</v>
      </c>
      <c r="J50" s="336" t="s">
        <v>118</v>
      </c>
      <c r="K50" s="230" t="s">
        <v>417</v>
      </c>
      <c r="L50" s="230" t="s">
        <v>47</v>
      </c>
      <c r="M50" s="2">
        <v>412418.47</v>
      </c>
      <c r="N50" s="326">
        <f>M50*0.1</f>
        <v>41241.847000000002</v>
      </c>
      <c r="O50" s="324" t="s">
        <v>26</v>
      </c>
      <c r="P50" s="2">
        <v>0</v>
      </c>
      <c r="Q50" s="2"/>
      <c r="R50" s="2">
        <f>N50</f>
        <v>41241.847000000002</v>
      </c>
      <c r="S50" s="230" t="s">
        <v>27</v>
      </c>
      <c r="T50" s="230" t="s">
        <v>27</v>
      </c>
      <c r="U50" s="230"/>
      <c r="V50" s="230"/>
      <c r="W50" s="230" t="s">
        <v>217</v>
      </c>
      <c r="X50" s="230"/>
    </row>
    <row r="51" spans="1:24" s="261" customFormat="1" ht="24" customHeight="1" x14ac:dyDescent="0.3">
      <c r="A51" s="230" t="s">
        <v>806</v>
      </c>
      <c r="B51" s="230" t="s">
        <v>811</v>
      </c>
      <c r="C51" s="247" t="s">
        <v>808</v>
      </c>
      <c r="D51" s="247" t="s">
        <v>779</v>
      </c>
      <c r="E51" s="272" t="s">
        <v>812</v>
      </c>
      <c r="F51" s="322" t="s">
        <v>813</v>
      </c>
      <c r="G51" s="323">
        <v>45481</v>
      </c>
      <c r="H51" s="322" t="s">
        <v>144</v>
      </c>
      <c r="I51" s="334" t="s">
        <v>213</v>
      </c>
      <c r="J51" s="336" t="s">
        <v>118</v>
      </c>
      <c r="K51" s="230" t="s">
        <v>417</v>
      </c>
      <c r="L51" s="230" t="s">
        <v>47</v>
      </c>
      <c r="M51" s="2">
        <v>190511.1</v>
      </c>
      <c r="N51" s="326">
        <f>M51*0.07</f>
        <v>13335.777000000002</v>
      </c>
      <c r="O51" s="324" t="s">
        <v>26</v>
      </c>
      <c r="P51" s="2">
        <v>0</v>
      </c>
      <c r="Q51" s="2"/>
      <c r="R51" s="2">
        <f>N51</f>
        <v>13335.777000000002</v>
      </c>
      <c r="S51" s="230" t="s">
        <v>27</v>
      </c>
      <c r="T51" s="230" t="s">
        <v>27</v>
      </c>
      <c r="U51" s="230"/>
      <c r="V51" s="230"/>
      <c r="W51" s="230" t="s">
        <v>217</v>
      </c>
      <c r="X51" s="230"/>
    </row>
    <row r="52" spans="1:24" s="261" customFormat="1" ht="24" customHeight="1" x14ac:dyDescent="0.3">
      <c r="A52" s="299" t="s">
        <v>982</v>
      </c>
      <c r="B52" s="299" t="s">
        <v>983</v>
      </c>
      <c r="C52" s="286" t="s">
        <v>984</v>
      </c>
      <c r="D52" s="286" t="s">
        <v>779</v>
      </c>
      <c r="E52" s="286" t="s">
        <v>987</v>
      </c>
      <c r="F52" s="329" t="s">
        <v>988</v>
      </c>
      <c r="G52" s="323">
        <v>45502</v>
      </c>
      <c r="H52" s="322" t="s">
        <v>144</v>
      </c>
      <c r="I52" s="334" t="s">
        <v>213</v>
      </c>
      <c r="J52" s="334" t="s">
        <v>118</v>
      </c>
      <c r="K52" s="230" t="s">
        <v>417</v>
      </c>
      <c r="L52" s="299" t="s">
        <v>47</v>
      </c>
      <c r="M52" s="302">
        <v>320182.65000000002</v>
      </c>
      <c r="N52" s="302">
        <f>M52*0.12</f>
        <v>38421.917999999998</v>
      </c>
      <c r="O52" s="299" t="s">
        <v>26</v>
      </c>
      <c r="P52" s="302">
        <v>0</v>
      </c>
      <c r="Q52" s="302"/>
      <c r="R52" s="302">
        <f>N52</f>
        <v>38421.917999999998</v>
      </c>
      <c r="S52" s="299" t="s">
        <v>27</v>
      </c>
      <c r="T52" s="299" t="s">
        <v>27</v>
      </c>
      <c r="U52" s="299"/>
      <c r="V52" s="299"/>
      <c r="W52" s="299" t="s">
        <v>73</v>
      </c>
      <c r="X52" s="299"/>
    </row>
    <row r="53" spans="1:24" s="176" customFormat="1" ht="24" customHeight="1" x14ac:dyDescent="0.3">
      <c r="A53" s="276" t="s">
        <v>742</v>
      </c>
      <c r="B53" s="276" t="s">
        <v>1028</v>
      </c>
      <c r="C53" s="277" t="s">
        <v>1029</v>
      </c>
      <c r="D53" s="276" t="s">
        <v>779</v>
      </c>
      <c r="E53" s="277" t="s">
        <v>1030</v>
      </c>
      <c r="F53" s="278" t="s">
        <v>1031</v>
      </c>
      <c r="G53" s="249">
        <v>45502</v>
      </c>
      <c r="H53" s="242" t="s">
        <v>144</v>
      </c>
      <c r="I53" s="35" t="s">
        <v>57</v>
      </c>
      <c r="J53" s="35" t="s">
        <v>118</v>
      </c>
      <c r="K53" s="46" t="s">
        <v>417</v>
      </c>
      <c r="L53" s="276" t="s">
        <v>47</v>
      </c>
      <c r="M53" s="281">
        <v>1607074.27</v>
      </c>
      <c r="N53" s="281">
        <f>M53*0.2</f>
        <v>321414.85400000005</v>
      </c>
      <c r="O53" s="276" t="s">
        <v>79</v>
      </c>
      <c r="P53" s="281">
        <f>N53*0.5</f>
        <v>160707.42700000003</v>
      </c>
      <c r="Q53" s="276" t="s">
        <v>27</v>
      </c>
      <c r="R53" s="281">
        <f>N53*0.5</f>
        <v>160707.42700000003</v>
      </c>
      <c r="S53" s="276" t="s">
        <v>27</v>
      </c>
      <c r="T53" s="276" t="s">
        <v>27</v>
      </c>
      <c r="U53" s="276" t="s">
        <v>874</v>
      </c>
      <c r="V53" s="276"/>
      <c r="W53" s="276" t="s">
        <v>73</v>
      </c>
      <c r="X53" s="276"/>
    </row>
    <row r="54" spans="1:24" s="176" customFormat="1" ht="24" customHeight="1" x14ac:dyDescent="0.3">
      <c r="A54" s="276" t="s">
        <v>742</v>
      </c>
      <c r="B54" s="276" t="s">
        <v>1028</v>
      </c>
      <c r="C54" s="277" t="s">
        <v>1029</v>
      </c>
      <c r="D54" s="358" t="s">
        <v>779</v>
      </c>
      <c r="E54" s="358" t="s">
        <v>1032</v>
      </c>
      <c r="F54" s="278" t="s">
        <v>1033</v>
      </c>
      <c r="G54" s="249">
        <v>45502</v>
      </c>
      <c r="H54" s="242" t="s">
        <v>144</v>
      </c>
      <c r="I54" s="35" t="s">
        <v>213</v>
      </c>
      <c r="J54" s="35" t="s">
        <v>118</v>
      </c>
      <c r="K54" s="46" t="s">
        <v>417</v>
      </c>
      <c r="L54" s="276" t="s">
        <v>47</v>
      </c>
      <c r="M54" s="281">
        <v>202747.24</v>
      </c>
      <c r="N54" s="281">
        <f>M54*0.12</f>
        <v>24329.668799999999</v>
      </c>
      <c r="O54" s="276" t="s">
        <v>26</v>
      </c>
      <c r="P54" s="281">
        <v>0</v>
      </c>
      <c r="Q54" s="281"/>
      <c r="R54" s="281">
        <f>N54</f>
        <v>24329.668799999999</v>
      </c>
      <c r="S54" s="276" t="s">
        <v>27</v>
      </c>
      <c r="T54" s="276" t="s">
        <v>27</v>
      </c>
      <c r="U54" s="276"/>
      <c r="V54" s="276"/>
      <c r="W54" s="276" t="s">
        <v>73</v>
      </c>
      <c r="X54" s="276"/>
    </row>
    <row r="55" spans="1:24" s="261" customFormat="1" ht="24" customHeight="1" x14ac:dyDescent="0.3">
      <c r="A55" s="299" t="s">
        <v>982</v>
      </c>
      <c r="B55" s="299" t="s">
        <v>983</v>
      </c>
      <c r="C55" s="286" t="s">
        <v>984</v>
      </c>
      <c r="D55" s="352" t="s">
        <v>779</v>
      </c>
      <c r="E55" s="352" t="s">
        <v>985</v>
      </c>
      <c r="F55" s="329" t="s">
        <v>986</v>
      </c>
      <c r="G55" s="323">
        <v>45523</v>
      </c>
      <c r="H55" s="322" t="s">
        <v>73</v>
      </c>
      <c r="I55" s="334" t="s">
        <v>57</v>
      </c>
      <c r="J55" s="334" t="s">
        <v>118</v>
      </c>
      <c r="K55" s="230" t="s">
        <v>417</v>
      </c>
      <c r="L55" s="299" t="s">
        <v>47</v>
      </c>
      <c r="M55" s="302">
        <v>662488.12</v>
      </c>
      <c r="N55" s="302">
        <f>M55*0.2</f>
        <v>132497.62400000001</v>
      </c>
      <c r="O55" s="299" t="s">
        <v>79</v>
      </c>
      <c r="P55" s="302">
        <f>N55*0.5</f>
        <v>66248.812000000005</v>
      </c>
      <c r="Q55" s="299" t="s">
        <v>27</v>
      </c>
      <c r="R55" s="302">
        <f>N55*0.5</f>
        <v>66248.812000000005</v>
      </c>
      <c r="S55" s="299" t="s">
        <v>27</v>
      </c>
      <c r="T55" s="299" t="s">
        <v>27</v>
      </c>
      <c r="U55" s="299" t="s">
        <v>874</v>
      </c>
      <c r="V55" s="299"/>
      <c r="W55" s="299" t="s">
        <v>73</v>
      </c>
      <c r="X55" s="299"/>
    </row>
    <row r="56" spans="1:24" s="176" customFormat="1" ht="24" customHeight="1" x14ac:dyDescent="0.3">
      <c r="A56" s="46" t="s">
        <v>75</v>
      </c>
      <c r="B56" s="46" t="s">
        <v>864</v>
      </c>
      <c r="C56" s="97" t="s">
        <v>865</v>
      </c>
      <c r="D56" s="97"/>
      <c r="E56" s="268" t="s">
        <v>866</v>
      </c>
      <c r="F56" s="242" t="s">
        <v>867</v>
      </c>
      <c r="G56" s="249">
        <v>45362</v>
      </c>
      <c r="H56" s="242" t="s">
        <v>28</v>
      </c>
      <c r="I56" s="35" t="s">
        <v>213</v>
      </c>
      <c r="J56" s="35" t="s">
        <v>24</v>
      </c>
      <c r="K56" s="46"/>
      <c r="L56" s="46" t="s">
        <v>47</v>
      </c>
      <c r="M56" s="34">
        <v>38592.99</v>
      </c>
      <c r="N56" s="34">
        <f>M56*0.2351897</f>
        <v>9076.6737402029994</v>
      </c>
      <c r="O56" s="46" t="s">
        <v>26</v>
      </c>
      <c r="P56" s="34">
        <v>0</v>
      </c>
      <c r="Q56" s="34"/>
      <c r="R56" s="34">
        <f>N56</f>
        <v>9076.6737402029994</v>
      </c>
      <c r="S56" s="46" t="s">
        <v>27</v>
      </c>
      <c r="T56" s="46" t="s">
        <v>27</v>
      </c>
      <c r="U56" s="46"/>
      <c r="V56" s="46"/>
      <c r="W56" s="46" t="s">
        <v>28</v>
      </c>
      <c r="X56" s="46"/>
    </row>
    <row r="57" spans="1:24" s="176" customFormat="1" ht="24" customHeight="1" x14ac:dyDescent="0.3">
      <c r="A57" s="46" t="s">
        <v>75</v>
      </c>
      <c r="B57" s="46" t="s">
        <v>864</v>
      </c>
      <c r="C57" s="97" t="s">
        <v>865</v>
      </c>
      <c r="D57" s="97"/>
      <c r="E57" s="268" t="s">
        <v>868</v>
      </c>
      <c r="F57" s="242" t="s">
        <v>869</v>
      </c>
      <c r="G57" s="249">
        <v>45363</v>
      </c>
      <c r="H57" s="242" t="s">
        <v>28</v>
      </c>
      <c r="I57" s="35" t="s">
        <v>57</v>
      </c>
      <c r="J57" s="35" t="s">
        <v>24</v>
      </c>
      <c r="K57" s="46"/>
      <c r="L57" s="46" t="s">
        <v>47</v>
      </c>
      <c r="M57" s="34">
        <v>60511.12</v>
      </c>
      <c r="N57" s="34">
        <f>M57*0.0765336</f>
        <v>4631.133853632</v>
      </c>
      <c r="O57" s="46" t="s">
        <v>26</v>
      </c>
      <c r="P57" s="34">
        <v>0</v>
      </c>
      <c r="Q57" s="34"/>
      <c r="R57" s="34">
        <f>N57</f>
        <v>4631.133853632</v>
      </c>
      <c r="S57" s="46" t="s">
        <v>27</v>
      </c>
      <c r="T57" s="46" t="s">
        <v>27</v>
      </c>
      <c r="U57" s="46"/>
      <c r="V57" s="46"/>
      <c r="W57" s="46" t="s">
        <v>28</v>
      </c>
      <c r="X57" s="46"/>
    </row>
    <row r="58" spans="1:24" s="261" customFormat="1" ht="24" customHeight="1" x14ac:dyDescent="0.3">
      <c r="A58" s="299" t="s">
        <v>1043</v>
      </c>
      <c r="B58" s="299" t="s">
        <v>1044</v>
      </c>
      <c r="C58" s="299" t="s">
        <v>1045</v>
      </c>
      <c r="D58" s="299" t="s">
        <v>1046</v>
      </c>
      <c r="E58" s="286" t="s">
        <v>1047</v>
      </c>
      <c r="F58" s="299" t="s">
        <v>1048</v>
      </c>
      <c r="G58" s="332">
        <v>45527</v>
      </c>
      <c r="H58" s="39" t="s">
        <v>73</v>
      </c>
      <c r="I58" s="334" t="s">
        <v>57</v>
      </c>
      <c r="J58" s="336" t="s">
        <v>118</v>
      </c>
      <c r="K58" s="230" t="s">
        <v>417</v>
      </c>
      <c r="L58" s="299" t="s">
        <v>47</v>
      </c>
      <c r="M58" s="302">
        <v>177499.41</v>
      </c>
      <c r="N58" s="302">
        <f>M58*0.2</f>
        <v>35499.882000000005</v>
      </c>
      <c r="O58" s="301" t="s">
        <v>79</v>
      </c>
      <c r="P58" s="302">
        <f>N58*0.5</f>
        <v>17749.941000000003</v>
      </c>
      <c r="Q58" s="299" t="s">
        <v>27</v>
      </c>
      <c r="R58" s="302">
        <f>N58*0.5</f>
        <v>17749.941000000003</v>
      </c>
      <c r="S58" s="299" t="s">
        <v>27</v>
      </c>
      <c r="T58" s="299" t="s">
        <v>27</v>
      </c>
      <c r="U58" s="299" t="s">
        <v>874</v>
      </c>
      <c r="V58" s="299"/>
      <c r="W58" s="299" t="s">
        <v>209</v>
      </c>
      <c r="X58" s="299"/>
    </row>
    <row r="59" spans="1:24" s="261" customFormat="1" ht="24" customHeight="1" x14ac:dyDescent="0.3">
      <c r="A59" s="230" t="s">
        <v>776</v>
      </c>
      <c r="B59" s="324" t="s">
        <v>777</v>
      </c>
      <c r="C59" s="230" t="s">
        <v>782</v>
      </c>
      <c r="D59" s="230" t="s">
        <v>783</v>
      </c>
      <c r="E59" s="272" t="s">
        <v>784</v>
      </c>
      <c r="F59" s="39" t="s">
        <v>785</v>
      </c>
      <c r="G59" s="332">
        <v>45546</v>
      </c>
      <c r="H59" s="322" t="s">
        <v>170</v>
      </c>
      <c r="I59" s="334" t="s">
        <v>213</v>
      </c>
      <c r="J59" s="336" t="s">
        <v>118</v>
      </c>
      <c r="K59" s="230" t="s">
        <v>417</v>
      </c>
      <c r="L59" s="324" t="s">
        <v>47</v>
      </c>
      <c r="M59" s="2">
        <v>32328.77</v>
      </c>
      <c r="N59" s="326">
        <f>M59*0.12</f>
        <v>3879.4524000000001</v>
      </c>
      <c r="O59" s="324" t="s">
        <v>26</v>
      </c>
      <c r="P59" s="2">
        <v>0</v>
      </c>
      <c r="Q59" s="2"/>
      <c r="R59" s="2">
        <f>N59</f>
        <v>3879.4524000000001</v>
      </c>
      <c r="S59" s="230" t="s">
        <v>27</v>
      </c>
      <c r="T59" s="230" t="s">
        <v>27</v>
      </c>
      <c r="U59" s="230"/>
      <c r="V59" s="230"/>
      <c r="W59" s="230" t="s">
        <v>209</v>
      </c>
      <c r="X59" s="230"/>
    </row>
    <row r="60" spans="1:24" ht="24" customHeight="1" x14ac:dyDescent="0.3">
      <c r="A60" s="6" t="s">
        <v>878</v>
      </c>
      <c r="B60" s="6" t="s">
        <v>879</v>
      </c>
      <c r="C60" s="102" t="s">
        <v>880</v>
      </c>
      <c r="D60" s="102"/>
      <c r="E60" s="102" t="s">
        <v>881</v>
      </c>
      <c r="F60" s="240" t="s">
        <v>882</v>
      </c>
      <c r="G60" s="241" t="s">
        <v>882</v>
      </c>
      <c r="H60" s="240" t="s">
        <v>882</v>
      </c>
      <c r="I60" s="41" t="s">
        <v>145</v>
      </c>
      <c r="J60" s="41" t="s">
        <v>883</v>
      </c>
      <c r="K60" s="6"/>
      <c r="L60" s="6" t="s">
        <v>884</v>
      </c>
      <c r="M60" s="9">
        <v>0</v>
      </c>
      <c r="N60" s="9">
        <v>363780</v>
      </c>
      <c r="O60" s="6" t="s">
        <v>885</v>
      </c>
      <c r="P60" s="9">
        <v>171140</v>
      </c>
      <c r="Q60" s="50" t="s">
        <v>27</v>
      </c>
      <c r="R60" s="9">
        <f>N60-P60</f>
        <v>192640</v>
      </c>
      <c r="S60" s="50" t="s">
        <v>27</v>
      </c>
      <c r="T60" s="50" t="s">
        <v>27</v>
      </c>
      <c r="U60" s="6"/>
      <c r="V60" s="6"/>
      <c r="W60" s="6" t="s">
        <v>28</v>
      </c>
      <c r="X60" s="6"/>
    </row>
    <row r="61" spans="1:24" s="176" customFormat="1" ht="24" customHeight="1" x14ac:dyDescent="0.3">
      <c r="A61" s="209" t="s">
        <v>886</v>
      </c>
      <c r="B61" s="209" t="s">
        <v>887</v>
      </c>
      <c r="C61" s="97" t="s">
        <v>888</v>
      </c>
      <c r="D61" s="130"/>
      <c r="E61" s="264" t="s">
        <v>889</v>
      </c>
      <c r="F61" s="270" t="s">
        <v>890</v>
      </c>
      <c r="G61" s="271">
        <v>45373</v>
      </c>
      <c r="H61" s="270" t="s">
        <v>28</v>
      </c>
      <c r="I61" s="35" t="s">
        <v>57</v>
      </c>
      <c r="J61" s="35" t="s">
        <v>46</v>
      </c>
      <c r="K61" s="46"/>
      <c r="L61" s="46" t="s">
        <v>25</v>
      </c>
      <c r="M61" s="34">
        <v>210186.83</v>
      </c>
      <c r="N61" s="34">
        <f>M61*0.15</f>
        <v>31528.024499999996</v>
      </c>
      <c r="O61" s="46" t="s">
        <v>72</v>
      </c>
      <c r="P61" s="34">
        <f>N61*0.6</f>
        <v>18916.814699999995</v>
      </c>
      <c r="Q61" s="46" t="s">
        <v>27</v>
      </c>
      <c r="R61" s="34">
        <f>N61*0.4</f>
        <v>12611.209799999999</v>
      </c>
      <c r="S61" s="46" t="s">
        <v>27</v>
      </c>
      <c r="T61" s="46" t="s">
        <v>27</v>
      </c>
      <c r="U61" s="46"/>
      <c r="V61" s="46"/>
      <c r="W61" s="46" t="s">
        <v>28</v>
      </c>
      <c r="X61" s="46"/>
    </row>
    <row r="62" spans="1:24" s="261" customFormat="1" ht="24" customHeight="1" x14ac:dyDescent="0.3">
      <c r="A62" s="299" t="s">
        <v>1043</v>
      </c>
      <c r="B62" s="299" t="s">
        <v>1044</v>
      </c>
      <c r="C62" s="299" t="s">
        <v>1049</v>
      </c>
      <c r="D62" s="299" t="s">
        <v>1046</v>
      </c>
      <c r="E62" s="286" t="s">
        <v>1050</v>
      </c>
      <c r="F62" s="299" t="s">
        <v>1051</v>
      </c>
      <c r="G62" s="332">
        <v>45546</v>
      </c>
      <c r="H62" s="322" t="s">
        <v>994</v>
      </c>
      <c r="I62" s="334" t="s">
        <v>213</v>
      </c>
      <c r="J62" s="336" t="s">
        <v>118</v>
      </c>
      <c r="K62" s="230" t="s">
        <v>417</v>
      </c>
      <c r="L62" s="299" t="s">
        <v>47</v>
      </c>
      <c r="M62" s="302">
        <v>21369.86</v>
      </c>
      <c r="N62" s="302">
        <f>M62*0.12</f>
        <v>2564.3831999999998</v>
      </c>
      <c r="O62" s="301" t="s">
        <v>26</v>
      </c>
      <c r="P62" s="302">
        <v>0</v>
      </c>
      <c r="Q62" s="302"/>
      <c r="R62" s="302">
        <f>N62</f>
        <v>2564.3831999999998</v>
      </c>
      <c r="S62" s="299" t="s">
        <v>27</v>
      </c>
      <c r="T62" s="299" t="s">
        <v>27</v>
      </c>
      <c r="U62" s="299"/>
      <c r="V62" s="299"/>
      <c r="W62" s="299" t="s">
        <v>209</v>
      </c>
      <c r="X62" s="299"/>
    </row>
    <row r="63" spans="1:24" s="261" customFormat="1" ht="24" customHeight="1" x14ac:dyDescent="0.3">
      <c r="A63" s="351" t="s">
        <v>1007</v>
      </c>
      <c r="B63" s="351" t="s">
        <v>1008</v>
      </c>
      <c r="C63" s="299" t="s">
        <v>1009</v>
      </c>
      <c r="D63" s="299" t="s">
        <v>779</v>
      </c>
      <c r="E63" s="286" t="s">
        <v>1012</v>
      </c>
      <c r="F63" s="351" t="s">
        <v>1013</v>
      </c>
      <c r="G63" s="356">
        <v>45553</v>
      </c>
      <c r="H63" s="328" t="s">
        <v>209</v>
      </c>
      <c r="I63" s="337" t="s">
        <v>213</v>
      </c>
      <c r="J63" s="334" t="s">
        <v>118</v>
      </c>
      <c r="K63" s="230" t="s">
        <v>417</v>
      </c>
      <c r="L63" s="351" t="s">
        <v>47</v>
      </c>
      <c r="M63" s="353">
        <v>121689.45</v>
      </c>
      <c r="N63" s="353">
        <f>M63*0.12</f>
        <v>14602.733999999999</v>
      </c>
      <c r="O63" s="351" t="s">
        <v>26</v>
      </c>
      <c r="P63" s="302">
        <v>0</v>
      </c>
      <c r="Q63" s="302"/>
      <c r="R63" s="354">
        <f>N63</f>
        <v>14602.733999999999</v>
      </c>
      <c r="S63" s="299" t="s">
        <v>27</v>
      </c>
      <c r="T63" s="299" t="s">
        <v>27</v>
      </c>
      <c r="U63" s="355"/>
      <c r="V63" s="355"/>
      <c r="W63" s="355" t="s">
        <v>217</v>
      </c>
      <c r="X63" s="355"/>
    </row>
    <row r="64" spans="1:24" ht="24" customHeight="1" x14ac:dyDescent="0.3">
      <c r="A64" s="6" t="s">
        <v>439</v>
      </c>
      <c r="B64" s="6" t="s">
        <v>897</v>
      </c>
      <c r="C64" s="102" t="s">
        <v>898</v>
      </c>
      <c r="D64" s="102"/>
      <c r="E64" s="102" t="s">
        <v>899</v>
      </c>
      <c r="F64" s="240" t="s">
        <v>900</v>
      </c>
      <c r="G64" s="241">
        <v>45363</v>
      </c>
      <c r="H64" s="240" t="s">
        <v>28</v>
      </c>
      <c r="I64" s="35" t="s">
        <v>57</v>
      </c>
      <c r="J64" s="41" t="s">
        <v>24</v>
      </c>
      <c r="K64" s="6"/>
      <c r="L64" s="6" t="s">
        <v>47</v>
      </c>
      <c r="M64" s="9">
        <v>500262.18</v>
      </c>
      <c r="N64" s="9">
        <f>M64*0.15</f>
        <v>75039.32699999999</v>
      </c>
      <c r="O64" s="6" t="s">
        <v>26</v>
      </c>
      <c r="P64" s="9">
        <v>0</v>
      </c>
      <c r="Q64" s="9"/>
      <c r="R64" s="9">
        <f>N64</f>
        <v>75039.32699999999</v>
      </c>
      <c r="S64" s="6" t="s">
        <v>27</v>
      </c>
      <c r="T64" s="6" t="s">
        <v>27</v>
      </c>
      <c r="U64" s="6"/>
      <c r="V64" s="6"/>
      <c r="W64" s="6" t="s">
        <v>99</v>
      </c>
      <c r="X64" s="6"/>
    </row>
    <row r="65" spans="1:24" s="176" customFormat="1" ht="24" customHeight="1" x14ac:dyDescent="0.3">
      <c r="A65" s="46" t="s">
        <v>901</v>
      </c>
      <c r="B65" s="46" t="s">
        <v>902</v>
      </c>
      <c r="C65" s="46" t="s">
        <v>903</v>
      </c>
      <c r="D65" s="46"/>
      <c r="E65" s="97"/>
      <c r="F65" s="259"/>
      <c r="G65" s="259"/>
      <c r="H65" s="259"/>
      <c r="I65" s="35" t="s">
        <v>71</v>
      </c>
      <c r="J65" s="35" t="s">
        <v>46</v>
      </c>
      <c r="K65" s="46"/>
      <c r="L65" s="46" t="s">
        <v>315</v>
      </c>
      <c r="M65" s="34"/>
      <c r="N65" s="34">
        <f>M65*0.15</f>
        <v>0</v>
      </c>
      <c r="O65" s="46" t="s">
        <v>72</v>
      </c>
      <c r="P65" s="34">
        <f>N65*0.6</f>
        <v>0</v>
      </c>
      <c r="Q65" s="46"/>
      <c r="R65" s="34">
        <f>N65*0.4</f>
        <v>0</v>
      </c>
      <c r="S65" s="46" t="s">
        <v>761</v>
      </c>
      <c r="T65" s="46" t="s">
        <v>761</v>
      </c>
      <c r="U65" s="46"/>
      <c r="V65" s="46"/>
      <c r="W65" s="46"/>
      <c r="X65" s="46"/>
    </row>
    <row r="66" spans="1:24" ht="24" customHeight="1" x14ac:dyDescent="0.3">
      <c r="A66" s="6" t="s">
        <v>848</v>
      </c>
      <c r="B66" s="79" t="s">
        <v>904</v>
      </c>
      <c r="C66" s="97" t="s">
        <v>711</v>
      </c>
      <c r="D66" s="97"/>
      <c r="E66" s="97" t="s">
        <v>905</v>
      </c>
      <c r="F66" s="240" t="s">
        <v>853</v>
      </c>
      <c r="G66" s="241">
        <v>45436</v>
      </c>
      <c r="H66" s="240" t="s">
        <v>84</v>
      </c>
      <c r="I66" s="41" t="s">
        <v>906</v>
      </c>
      <c r="J66" s="41" t="s">
        <v>46</v>
      </c>
      <c r="K66" s="6"/>
      <c r="L66" s="6" t="s">
        <v>25</v>
      </c>
      <c r="M66" s="9">
        <v>52466.89</v>
      </c>
      <c r="N66" s="9">
        <f>M66*0.15</f>
        <v>7870.0334999999995</v>
      </c>
      <c r="O66" s="6" t="s">
        <v>72</v>
      </c>
      <c r="P66" s="9">
        <f>N66*0.6</f>
        <v>4722.0200999999997</v>
      </c>
      <c r="Q66" s="50" t="s">
        <v>27</v>
      </c>
      <c r="R66" s="9">
        <f>N66*0.4</f>
        <v>3148.0133999999998</v>
      </c>
      <c r="S66" s="50" t="s">
        <v>27</v>
      </c>
      <c r="T66" s="50" t="s">
        <v>27</v>
      </c>
      <c r="U66" s="6"/>
      <c r="V66" s="6"/>
      <c r="W66" s="6" t="s">
        <v>119</v>
      </c>
      <c r="X66" s="6"/>
    </row>
    <row r="67" spans="1:24" ht="24" customHeight="1" x14ac:dyDescent="0.3">
      <c r="A67" s="6" t="s">
        <v>907</v>
      </c>
      <c r="B67" s="46" t="s">
        <v>858</v>
      </c>
      <c r="C67" s="46" t="s">
        <v>908</v>
      </c>
      <c r="D67" s="46"/>
      <c r="E67" s="102"/>
      <c r="F67" s="253"/>
      <c r="G67" s="253"/>
      <c r="H67" s="253"/>
      <c r="I67" s="41" t="s">
        <v>57</v>
      </c>
      <c r="J67" s="41" t="s">
        <v>78</v>
      </c>
      <c r="K67" s="6"/>
      <c r="L67" s="6" t="s">
        <v>47</v>
      </c>
      <c r="M67" s="9"/>
      <c r="N67" s="9">
        <f>M67*0.15</f>
        <v>0</v>
      </c>
      <c r="O67" s="6" t="s">
        <v>79</v>
      </c>
      <c r="P67" s="9">
        <f>N67*0.5</f>
        <v>0</v>
      </c>
      <c r="Q67" s="50" t="s">
        <v>27</v>
      </c>
      <c r="R67" s="9">
        <f>N67*0.5</f>
        <v>0</v>
      </c>
      <c r="S67" s="6" t="s">
        <v>761</v>
      </c>
      <c r="T67" s="6" t="s">
        <v>761</v>
      </c>
      <c r="U67" s="6"/>
      <c r="V67" s="6"/>
      <c r="W67" s="6"/>
      <c r="X67" s="6"/>
    </row>
    <row r="68" spans="1:24" ht="24" customHeight="1" x14ac:dyDescent="0.3">
      <c r="A68" s="6" t="s">
        <v>907</v>
      </c>
      <c r="B68" s="46" t="s">
        <v>858</v>
      </c>
      <c r="C68" s="46" t="s">
        <v>908</v>
      </c>
      <c r="D68" s="46"/>
      <c r="E68" s="102"/>
      <c r="F68" s="253"/>
      <c r="G68" s="253"/>
      <c r="H68" s="253"/>
      <c r="I68" s="41" t="s">
        <v>213</v>
      </c>
      <c r="J68" s="41" t="s">
        <v>78</v>
      </c>
      <c r="K68" s="6"/>
      <c r="L68" s="6" t="s">
        <v>47</v>
      </c>
      <c r="M68" s="9"/>
      <c r="N68" s="9">
        <f>M68*0.12</f>
        <v>0</v>
      </c>
      <c r="O68" s="6" t="s">
        <v>26</v>
      </c>
      <c r="P68" s="6"/>
      <c r="Q68" s="50" t="s">
        <v>27</v>
      </c>
      <c r="R68" s="9">
        <f>N68</f>
        <v>0</v>
      </c>
      <c r="S68" s="6" t="s">
        <v>761</v>
      </c>
      <c r="T68" s="6" t="s">
        <v>761</v>
      </c>
      <c r="U68" s="6"/>
      <c r="V68" s="6"/>
      <c r="W68" s="6"/>
      <c r="X68" s="6"/>
    </row>
    <row r="69" spans="1:24" s="176" customFormat="1" ht="24" customHeight="1" x14ac:dyDescent="0.3">
      <c r="A69" s="276" t="s">
        <v>1171</v>
      </c>
      <c r="B69" s="276" t="s">
        <v>1172</v>
      </c>
      <c r="C69" s="277" t="s">
        <v>1173</v>
      </c>
      <c r="D69" s="277" t="s">
        <v>779</v>
      </c>
      <c r="E69" s="277" t="s">
        <v>1174</v>
      </c>
      <c r="F69" s="278" t="s">
        <v>1175</v>
      </c>
      <c r="G69" s="249">
        <v>45558</v>
      </c>
      <c r="H69" s="242" t="s">
        <v>994</v>
      </c>
      <c r="I69" s="35" t="s">
        <v>57</v>
      </c>
      <c r="J69" s="35" t="s">
        <v>118</v>
      </c>
      <c r="K69" s="46" t="s">
        <v>417</v>
      </c>
      <c r="L69" s="276" t="s">
        <v>25</v>
      </c>
      <c r="M69" s="281">
        <v>23860.36</v>
      </c>
      <c r="N69" s="281">
        <f>M69*0.15</f>
        <v>3579.0540000000001</v>
      </c>
      <c r="O69" s="250" t="s">
        <v>79</v>
      </c>
      <c r="P69" s="281">
        <f>N69*0.5</f>
        <v>1789.527</v>
      </c>
      <c r="Q69" s="46" t="s">
        <v>340</v>
      </c>
      <c r="R69" s="281">
        <f>N69*0.5</f>
        <v>1789.527</v>
      </c>
      <c r="S69" s="276" t="s">
        <v>27</v>
      </c>
      <c r="T69" s="276" t="s">
        <v>27</v>
      </c>
      <c r="U69" s="276"/>
      <c r="V69" s="276"/>
      <c r="W69" s="276" t="s">
        <v>209</v>
      </c>
      <c r="X69" s="276"/>
    </row>
    <row r="70" spans="1:24" s="261" customFormat="1" ht="26.85" customHeight="1" x14ac:dyDescent="0.3">
      <c r="A70" s="230" t="s">
        <v>776</v>
      </c>
      <c r="B70" s="324" t="s">
        <v>777</v>
      </c>
      <c r="C70" s="2" t="s">
        <v>778</v>
      </c>
      <c r="D70" s="2" t="s">
        <v>779</v>
      </c>
      <c r="E70" s="331" t="s">
        <v>780</v>
      </c>
      <c r="F70" s="257" t="s">
        <v>781</v>
      </c>
      <c r="G70" s="332">
        <v>45568</v>
      </c>
      <c r="H70" s="357" t="s">
        <v>209</v>
      </c>
      <c r="I70" s="338" t="s">
        <v>57</v>
      </c>
      <c r="J70" s="336" t="s">
        <v>118</v>
      </c>
      <c r="K70" s="230" t="s">
        <v>417</v>
      </c>
      <c r="L70" s="327" t="s">
        <v>47</v>
      </c>
      <c r="M70" s="333">
        <v>279613.08</v>
      </c>
      <c r="N70" s="326">
        <f>M70*0.2</f>
        <v>55922.616000000009</v>
      </c>
      <c r="O70" s="327" t="s">
        <v>79</v>
      </c>
      <c r="P70" s="2">
        <f>N70*0.5</f>
        <v>27961.308000000005</v>
      </c>
      <c r="Q70" s="230" t="s">
        <v>340</v>
      </c>
      <c r="R70" s="2">
        <f>N70*0.5</f>
        <v>27961.308000000005</v>
      </c>
      <c r="S70" s="230" t="s">
        <v>27</v>
      </c>
      <c r="T70" s="230" t="s">
        <v>27</v>
      </c>
      <c r="U70" s="230"/>
      <c r="V70" s="230"/>
      <c r="W70" s="230" t="s">
        <v>217</v>
      </c>
      <c r="X70" s="230"/>
    </row>
    <row r="71" spans="1:24" s="176" customFormat="1" ht="26.85" customHeight="1" x14ac:dyDescent="0.3">
      <c r="A71" s="46" t="s">
        <v>171</v>
      </c>
      <c r="B71" s="46" t="s">
        <v>351</v>
      </c>
      <c r="C71" s="97" t="s">
        <v>915</v>
      </c>
      <c r="D71" s="97"/>
      <c r="E71" s="97" t="s">
        <v>916</v>
      </c>
      <c r="F71" s="242" t="s">
        <v>917</v>
      </c>
      <c r="G71" s="249">
        <v>45377</v>
      </c>
      <c r="H71" s="242" t="s">
        <v>28</v>
      </c>
      <c r="I71" s="35" t="s">
        <v>53</v>
      </c>
      <c r="J71" s="35" t="s">
        <v>24</v>
      </c>
      <c r="K71" s="46"/>
      <c r="L71" s="46" t="s">
        <v>25</v>
      </c>
      <c r="M71" s="34">
        <v>17024.3</v>
      </c>
      <c r="N71" s="34">
        <f>M71*0.15</f>
        <v>2553.645</v>
      </c>
      <c r="O71" s="250" t="s">
        <v>26</v>
      </c>
      <c r="P71" s="34">
        <v>0</v>
      </c>
      <c r="Q71" s="34"/>
      <c r="R71" s="34">
        <f>N71</f>
        <v>2553.645</v>
      </c>
      <c r="S71" s="46" t="s">
        <v>27</v>
      </c>
      <c r="T71" s="46" t="s">
        <v>27</v>
      </c>
      <c r="U71" s="46"/>
      <c r="V71" s="46"/>
      <c r="W71" s="46" t="s">
        <v>84</v>
      </c>
      <c r="X71" s="46"/>
    </row>
    <row r="72" spans="1:24" s="176" customFormat="1" ht="26.85" customHeight="1" x14ac:dyDescent="0.3">
      <c r="A72" s="46" t="s">
        <v>171</v>
      </c>
      <c r="B72" s="46" t="s">
        <v>918</v>
      </c>
      <c r="C72" s="97" t="s">
        <v>919</v>
      </c>
      <c r="D72" s="97"/>
      <c r="E72" s="97" t="s">
        <v>920</v>
      </c>
      <c r="F72" s="242" t="s">
        <v>921</v>
      </c>
      <c r="G72" s="249">
        <v>45412</v>
      </c>
      <c r="H72" s="242" t="s">
        <v>99</v>
      </c>
      <c r="I72" s="35" t="s">
        <v>57</v>
      </c>
      <c r="J72" s="35" t="s">
        <v>24</v>
      </c>
      <c r="K72" s="46"/>
      <c r="L72" s="46" t="s">
        <v>25</v>
      </c>
      <c r="M72" s="34">
        <v>581588.93999999994</v>
      </c>
      <c r="N72" s="34">
        <f>M72*0.15</f>
        <v>87238.340999999986</v>
      </c>
      <c r="O72" s="250" t="s">
        <v>26</v>
      </c>
      <c r="P72" s="34">
        <v>0</v>
      </c>
      <c r="Q72" s="34"/>
      <c r="R72" s="34">
        <f>N72</f>
        <v>87238.340999999986</v>
      </c>
      <c r="S72" s="46" t="s">
        <v>27</v>
      </c>
      <c r="T72" s="46" t="s">
        <v>27</v>
      </c>
      <c r="U72" s="46"/>
      <c r="V72" s="46"/>
      <c r="W72" s="46" t="s">
        <v>84</v>
      </c>
      <c r="X72" s="46"/>
    </row>
    <row r="73" spans="1:24" s="176" customFormat="1" ht="26.85" customHeight="1" x14ac:dyDescent="0.3">
      <c r="A73" s="46" t="s">
        <v>171</v>
      </c>
      <c r="B73" s="46" t="s">
        <v>918</v>
      </c>
      <c r="C73" s="97" t="s">
        <v>922</v>
      </c>
      <c r="D73" s="97"/>
      <c r="E73" s="97" t="s">
        <v>923</v>
      </c>
      <c r="F73" s="242" t="s">
        <v>924</v>
      </c>
      <c r="G73" s="249">
        <v>45510</v>
      </c>
      <c r="H73" s="242" t="s">
        <v>73</v>
      </c>
      <c r="I73" s="35" t="s">
        <v>71</v>
      </c>
      <c r="J73" s="335" t="s">
        <v>24</v>
      </c>
      <c r="K73" s="250"/>
      <c r="L73" s="46" t="s">
        <v>315</v>
      </c>
      <c r="M73" s="34">
        <v>275731.3</v>
      </c>
      <c r="N73" s="251">
        <f>M73*0.15</f>
        <v>41359.695</v>
      </c>
      <c r="O73" s="250" t="s">
        <v>26</v>
      </c>
      <c r="P73" s="34">
        <v>0</v>
      </c>
      <c r="Q73" s="34"/>
      <c r="R73" s="34">
        <f>N73</f>
        <v>41359.695</v>
      </c>
      <c r="S73" s="46" t="s">
        <v>27</v>
      </c>
      <c r="T73" s="46" t="s">
        <v>27</v>
      </c>
      <c r="U73" s="46"/>
      <c r="V73" s="46"/>
      <c r="W73" s="46" t="s">
        <v>209</v>
      </c>
      <c r="X73" s="46"/>
    </row>
    <row r="74" spans="1:24" s="176" customFormat="1" ht="24" customHeight="1" x14ac:dyDescent="0.3">
      <c r="A74" s="6" t="s">
        <v>925</v>
      </c>
      <c r="B74" s="6" t="s">
        <v>926</v>
      </c>
      <c r="C74" s="268" t="s">
        <v>927</v>
      </c>
      <c r="D74" s="268"/>
      <c r="E74" s="97" t="s">
        <v>928</v>
      </c>
      <c r="F74" s="242" t="s">
        <v>929</v>
      </c>
      <c r="G74" s="249">
        <v>45455</v>
      </c>
      <c r="H74" s="242" t="s">
        <v>119</v>
      </c>
      <c r="I74" s="35" t="s">
        <v>71</v>
      </c>
      <c r="J74" s="335" t="s">
        <v>24</v>
      </c>
      <c r="K74" s="250"/>
      <c r="L74" s="46" t="s">
        <v>315</v>
      </c>
      <c r="M74" s="34">
        <v>240000</v>
      </c>
      <c r="N74" s="251">
        <v>24563.7</v>
      </c>
      <c r="O74" s="250" t="s">
        <v>26</v>
      </c>
      <c r="P74" s="34">
        <v>0</v>
      </c>
      <c r="Q74" s="34"/>
      <c r="R74" s="34">
        <f>N74</f>
        <v>24563.7</v>
      </c>
      <c r="S74" s="46" t="s">
        <v>27</v>
      </c>
      <c r="T74" s="46" t="s">
        <v>27</v>
      </c>
      <c r="U74" s="46"/>
      <c r="V74" s="46"/>
      <c r="W74" s="46" t="s">
        <v>209</v>
      </c>
      <c r="X74" s="46"/>
    </row>
    <row r="75" spans="1:24" s="176" customFormat="1" ht="30" customHeight="1" x14ac:dyDescent="0.3">
      <c r="A75" s="46" t="s">
        <v>930</v>
      </c>
      <c r="B75" s="46" t="s">
        <v>931</v>
      </c>
      <c r="C75" s="97" t="s">
        <v>932</v>
      </c>
      <c r="D75" s="97"/>
      <c r="E75" s="97" t="s">
        <v>933</v>
      </c>
      <c r="F75" s="242" t="s">
        <v>934</v>
      </c>
      <c r="G75" s="249">
        <v>45472</v>
      </c>
      <c r="H75" s="242" t="s">
        <v>119</v>
      </c>
      <c r="I75" s="35" t="s">
        <v>57</v>
      </c>
      <c r="J75" s="35" t="s">
        <v>78</v>
      </c>
      <c r="K75" s="46"/>
      <c r="L75" s="46" t="s">
        <v>47</v>
      </c>
      <c r="M75" s="34">
        <v>982677.88</v>
      </c>
      <c r="N75" s="34">
        <f>M75*0.15</f>
        <v>147401.682</v>
      </c>
      <c r="O75" s="250" t="s">
        <v>79</v>
      </c>
      <c r="P75" s="34">
        <f>N75*0.3333</f>
        <v>49128.980610599996</v>
      </c>
      <c r="Q75" s="31" t="s">
        <v>340</v>
      </c>
      <c r="R75" s="34">
        <f>N75*0.6667</f>
        <v>98272.701389399997</v>
      </c>
      <c r="S75" s="46" t="s">
        <v>27</v>
      </c>
      <c r="T75" s="46" t="s">
        <v>27</v>
      </c>
      <c r="U75" s="46"/>
      <c r="V75" s="46"/>
      <c r="W75" s="46" t="s">
        <v>144</v>
      </c>
      <c r="X75" s="46"/>
    </row>
    <row r="76" spans="1:24" s="176" customFormat="1" ht="31.35" customHeight="1" x14ac:dyDescent="0.3">
      <c r="A76" s="269" t="s">
        <v>935</v>
      </c>
      <c r="B76" s="269" t="s">
        <v>936</v>
      </c>
      <c r="C76" s="258" t="s">
        <v>937</v>
      </c>
      <c r="D76" s="258"/>
      <c r="E76" s="97"/>
      <c r="F76" s="242"/>
      <c r="G76" s="249"/>
      <c r="H76" s="242"/>
      <c r="I76" s="35" t="s">
        <v>71</v>
      </c>
      <c r="J76" s="35" t="s">
        <v>24</v>
      </c>
      <c r="K76" s="46"/>
      <c r="L76" s="46" t="s">
        <v>938</v>
      </c>
      <c r="M76" s="34">
        <v>0</v>
      </c>
      <c r="N76" s="34">
        <v>21517.24</v>
      </c>
      <c r="O76" s="46" t="s">
        <v>26</v>
      </c>
      <c r="P76" s="34">
        <v>0</v>
      </c>
      <c r="Q76" s="34"/>
      <c r="R76" s="34">
        <f>N76</f>
        <v>21517.24</v>
      </c>
      <c r="S76" s="46" t="s">
        <v>27</v>
      </c>
      <c r="T76" s="46" t="s">
        <v>27</v>
      </c>
      <c r="U76" s="46"/>
      <c r="V76" s="46"/>
      <c r="W76" s="46" t="s">
        <v>99</v>
      </c>
      <c r="X76" s="46"/>
    </row>
    <row r="77" spans="1:24" s="176" customFormat="1" ht="27.6" customHeight="1" x14ac:dyDescent="0.3">
      <c r="A77" s="209" t="s">
        <v>939</v>
      </c>
      <c r="B77" s="209" t="s">
        <v>940</v>
      </c>
      <c r="C77" s="130" t="s">
        <v>941</v>
      </c>
      <c r="D77" s="130"/>
      <c r="E77" s="130" t="s">
        <v>942</v>
      </c>
      <c r="F77" s="270" t="s">
        <v>943</v>
      </c>
      <c r="G77" s="271">
        <v>45461</v>
      </c>
      <c r="H77" s="270" t="s">
        <v>119</v>
      </c>
      <c r="I77" s="339" t="s">
        <v>213</v>
      </c>
      <c r="J77" s="339" t="s">
        <v>944</v>
      </c>
      <c r="K77" s="209"/>
      <c r="L77" s="209" t="s">
        <v>47</v>
      </c>
      <c r="M77" s="76">
        <v>620624.99</v>
      </c>
      <c r="N77" s="76">
        <f>M77*0.12</f>
        <v>74474.998800000001</v>
      </c>
      <c r="O77" s="262" t="s">
        <v>68</v>
      </c>
      <c r="P77" s="76">
        <f>63000</f>
        <v>63000</v>
      </c>
      <c r="Q77" s="46" t="s">
        <v>27</v>
      </c>
      <c r="R77" s="76">
        <f>N77-P77</f>
        <v>11474.998800000001</v>
      </c>
      <c r="S77" s="46" t="s">
        <v>27</v>
      </c>
      <c r="T77" s="46" t="s">
        <v>27</v>
      </c>
      <c r="U77" s="209"/>
      <c r="V77" s="209"/>
      <c r="W77" s="209" t="s">
        <v>144</v>
      </c>
      <c r="X77" s="209"/>
    </row>
    <row r="78" spans="1:24" ht="24" customHeight="1" x14ac:dyDescent="0.3">
      <c r="A78" s="6" t="s">
        <v>891</v>
      </c>
      <c r="B78" s="46" t="s">
        <v>945</v>
      </c>
      <c r="C78" s="46" t="s">
        <v>946</v>
      </c>
      <c r="D78" s="46"/>
      <c r="E78" s="97"/>
      <c r="F78" s="253"/>
      <c r="G78" s="253"/>
      <c r="H78" s="253"/>
      <c r="I78" s="41" t="s">
        <v>57</v>
      </c>
      <c r="J78" s="41" t="s">
        <v>78</v>
      </c>
      <c r="K78" s="6"/>
      <c r="L78" s="6" t="s">
        <v>47</v>
      </c>
      <c r="M78" s="9">
        <v>0</v>
      </c>
      <c r="N78" s="9">
        <v>0</v>
      </c>
      <c r="O78" s="6" t="s">
        <v>79</v>
      </c>
      <c r="P78" s="9">
        <v>0</v>
      </c>
      <c r="Q78" s="9"/>
      <c r="R78" s="9">
        <v>0</v>
      </c>
      <c r="S78" s="6" t="s">
        <v>761</v>
      </c>
      <c r="T78" s="6" t="s">
        <v>761</v>
      </c>
      <c r="U78" s="6"/>
      <c r="V78" s="6"/>
      <c r="W78" s="6"/>
      <c r="X78" s="6"/>
    </row>
    <row r="79" spans="1:24" ht="24" customHeight="1" x14ac:dyDescent="0.3">
      <c r="A79" s="6" t="s">
        <v>891</v>
      </c>
      <c r="B79" s="46" t="s">
        <v>945</v>
      </c>
      <c r="C79" s="46" t="s">
        <v>947</v>
      </c>
      <c r="D79" s="46"/>
      <c r="E79" s="97"/>
      <c r="F79" s="253"/>
      <c r="G79" s="253"/>
      <c r="H79" s="253"/>
      <c r="I79" s="41" t="s">
        <v>213</v>
      </c>
      <c r="J79" s="41" t="s">
        <v>78</v>
      </c>
      <c r="K79" s="6"/>
      <c r="L79" s="6" t="s">
        <v>47</v>
      </c>
      <c r="M79" s="9">
        <v>0</v>
      </c>
      <c r="N79" s="9">
        <v>0</v>
      </c>
      <c r="O79" s="6" t="s">
        <v>26</v>
      </c>
      <c r="P79" s="9">
        <v>0</v>
      </c>
      <c r="Q79" s="9"/>
      <c r="R79" s="9">
        <v>0</v>
      </c>
      <c r="S79" s="6" t="s">
        <v>761</v>
      </c>
      <c r="T79" s="6" t="s">
        <v>761</v>
      </c>
      <c r="U79" s="6"/>
      <c r="V79" s="6"/>
      <c r="W79" s="6"/>
      <c r="X79" s="6"/>
    </row>
    <row r="80" spans="1:24" s="176" customFormat="1" ht="24" customHeight="1" x14ac:dyDescent="0.3">
      <c r="A80" s="46" t="s">
        <v>948</v>
      </c>
      <c r="B80" s="46" t="s">
        <v>949</v>
      </c>
      <c r="C80" s="97" t="s">
        <v>950</v>
      </c>
      <c r="D80" s="97"/>
      <c r="E80" s="247" t="s">
        <v>951</v>
      </c>
      <c r="F80" s="260" t="s">
        <v>952</v>
      </c>
      <c r="G80" s="249">
        <v>45477</v>
      </c>
      <c r="H80" s="242" t="s">
        <v>144</v>
      </c>
      <c r="I80" s="35" t="s">
        <v>57</v>
      </c>
      <c r="J80" s="35" t="s">
        <v>78</v>
      </c>
      <c r="K80" s="46"/>
      <c r="L80" s="46" t="s">
        <v>47</v>
      </c>
      <c r="M80" s="34">
        <v>824673.8</v>
      </c>
      <c r="N80" s="34">
        <f>M80*0.15</f>
        <v>123701.07</v>
      </c>
      <c r="O80" s="46" t="s">
        <v>79</v>
      </c>
      <c r="P80" s="34">
        <f>N80*0.3333</f>
        <v>41229.566631000002</v>
      </c>
      <c r="Q80" s="31" t="s">
        <v>340</v>
      </c>
      <c r="R80" s="34">
        <f>N80*0.6667</f>
        <v>82471.503368999998</v>
      </c>
      <c r="S80" s="46" t="s">
        <v>27</v>
      </c>
      <c r="T80" s="46" t="s">
        <v>27</v>
      </c>
      <c r="U80" s="46"/>
      <c r="V80" s="46"/>
      <c r="W80" s="46" t="s">
        <v>73</v>
      </c>
      <c r="X80" s="46"/>
    </row>
    <row r="81" spans="1:24" s="176" customFormat="1" ht="24" customHeight="1" x14ac:dyDescent="0.3">
      <c r="A81" s="46" t="s">
        <v>948</v>
      </c>
      <c r="B81" s="46" t="s">
        <v>949</v>
      </c>
      <c r="C81" s="97" t="s">
        <v>950</v>
      </c>
      <c r="D81" s="97"/>
      <c r="E81" s="97" t="s">
        <v>953</v>
      </c>
      <c r="F81" s="242" t="s">
        <v>954</v>
      </c>
      <c r="G81" s="249">
        <v>45475</v>
      </c>
      <c r="H81" s="242" t="s">
        <v>144</v>
      </c>
      <c r="I81" s="35" t="s">
        <v>213</v>
      </c>
      <c r="J81" s="35" t="s">
        <v>78</v>
      </c>
      <c r="K81" s="46"/>
      <c r="L81" s="46" t="s">
        <v>47</v>
      </c>
      <c r="M81" s="34">
        <v>321000</v>
      </c>
      <c r="N81" s="34">
        <f>M81*0.12</f>
        <v>38520</v>
      </c>
      <c r="O81" s="46" t="s">
        <v>26</v>
      </c>
      <c r="P81" s="34">
        <v>0</v>
      </c>
      <c r="Q81" s="34"/>
      <c r="R81" s="34">
        <f>N81</f>
        <v>38520</v>
      </c>
      <c r="S81" s="46" t="s">
        <v>27</v>
      </c>
      <c r="T81" s="46" t="s">
        <v>27</v>
      </c>
      <c r="U81" s="46"/>
      <c r="V81" s="46"/>
      <c r="W81" s="46" t="s">
        <v>73</v>
      </c>
      <c r="X81" s="46"/>
    </row>
    <row r="82" spans="1:24" s="176" customFormat="1" ht="24" customHeight="1" x14ac:dyDescent="0.3">
      <c r="A82" s="46" t="s">
        <v>955</v>
      </c>
      <c r="B82" s="46" t="s">
        <v>956</v>
      </c>
      <c r="C82" s="97" t="s">
        <v>957</v>
      </c>
      <c r="D82" s="97"/>
      <c r="E82" s="97" t="s">
        <v>958</v>
      </c>
      <c r="F82" s="260" t="s">
        <v>959</v>
      </c>
      <c r="G82" s="249">
        <v>45442</v>
      </c>
      <c r="H82" s="242" t="s">
        <v>84</v>
      </c>
      <c r="I82" s="35" t="s">
        <v>57</v>
      </c>
      <c r="J82" s="35" t="s">
        <v>24</v>
      </c>
      <c r="K82" s="46"/>
      <c r="L82" s="46" t="s">
        <v>25</v>
      </c>
      <c r="M82" s="34">
        <v>2500</v>
      </c>
      <c r="N82" s="34">
        <f>M82*0.15</f>
        <v>375</v>
      </c>
      <c r="O82" s="46" t="s">
        <v>26</v>
      </c>
      <c r="P82" s="34">
        <v>0</v>
      </c>
      <c r="Q82" s="34"/>
      <c r="R82" s="34">
        <f>N82</f>
        <v>375</v>
      </c>
      <c r="S82" s="46" t="s">
        <v>27</v>
      </c>
      <c r="T82" s="46" t="s">
        <v>27</v>
      </c>
      <c r="U82" s="46"/>
      <c r="V82" s="46"/>
      <c r="W82" s="46" t="s">
        <v>119</v>
      </c>
      <c r="X82" s="46"/>
    </row>
    <row r="83" spans="1:24" s="176" customFormat="1" ht="24" customHeight="1" x14ac:dyDescent="0.3">
      <c r="A83" s="46" t="s">
        <v>955</v>
      </c>
      <c r="B83" s="46" t="s">
        <v>960</v>
      </c>
      <c r="C83" s="97" t="s">
        <v>961</v>
      </c>
      <c r="D83" s="97"/>
      <c r="E83" s="97" t="s">
        <v>962</v>
      </c>
      <c r="F83" s="242" t="s">
        <v>963</v>
      </c>
      <c r="G83" s="249">
        <v>45453</v>
      </c>
      <c r="H83" s="242" t="s">
        <v>119</v>
      </c>
      <c r="I83" s="35" t="s">
        <v>57</v>
      </c>
      <c r="J83" s="35" t="s">
        <v>24</v>
      </c>
      <c r="K83" s="46"/>
      <c r="L83" s="46" t="s">
        <v>25</v>
      </c>
      <c r="M83" s="34">
        <v>13119.55</v>
      </c>
      <c r="N83" s="34">
        <f>M83*0.15</f>
        <v>1967.9324999999999</v>
      </c>
      <c r="O83" s="46" t="s">
        <v>26</v>
      </c>
      <c r="P83" s="34">
        <v>0</v>
      </c>
      <c r="Q83" s="34"/>
      <c r="R83" s="34">
        <f>N83</f>
        <v>1967.9324999999999</v>
      </c>
      <c r="S83" s="46" t="s">
        <v>27</v>
      </c>
      <c r="T83" s="46" t="s">
        <v>27</v>
      </c>
      <c r="U83" s="46"/>
      <c r="V83" s="46"/>
      <c r="W83" s="46" t="s">
        <v>119</v>
      </c>
      <c r="X83" s="46"/>
    </row>
    <row r="84" spans="1:24" s="176" customFormat="1" ht="24" customHeight="1" x14ac:dyDescent="0.3">
      <c r="A84" s="46" t="s">
        <v>171</v>
      </c>
      <c r="B84" s="46" t="s">
        <v>964</v>
      </c>
      <c r="C84" s="268" t="s">
        <v>965</v>
      </c>
      <c r="D84" s="268"/>
      <c r="E84" s="97" t="s">
        <v>966</v>
      </c>
      <c r="F84" s="242" t="s">
        <v>967</v>
      </c>
      <c r="G84" s="249">
        <v>45343</v>
      </c>
      <c r="H84" s="242" t="s">
        <v>54</v>
      </c>
      <c r="I84" s="35" t="s">
        <v>53</v>
      </c>
      <c r="J84" s="35" t="s">
        <v>24</v>
      </c>
      <c r="K84" s="46"/>
      <c r="L84" s="46" t="s">
        <v>25</v>
      </c>
      <c r="M84" s="34">
        <v>5519.41</v>
      </c>
      <c r="N84" s="34">
        <f>M84*0.15</f>
        <v>827.91149999999993</v>
      </c>
      <c r="O84" s="250" t="s">
        <v>26</v>
      </c>
      <c r="P84" s="34">
        <v>0</v>
      </c>
      <c r="Q84" s="34"/>
      <c r="R84" s="34">
        <f>N84</f>
        <v>827.91149999999993</v>
      </c>
      <c r="S84" s="46" t="s">
        <v>27</v>
      </c>
      <c r="T84" s="46" t="s">
        <v>27</v>
      </c>
      <c r="U84" s="46"/>
      <c r="V84" s="46"/>
      <c r="W84" s="46" t="s">
        <v>84</v>
      </c>
      <c r="X84" s="46"/>
    </row>
    <row r="85" spans="1:24" ht="24" customHeight="1" x14ac:dyDescent="0.3">
      <c r="A85" s="6" t="s">
        <v>774</v>
      </c>
      <c r="B85" s="6" t="s">
        <v>968</v>
      </c>
      <c r="C85" s="273" t="s">
        <v>969</v>
      </c>
      <c r="D85" s="273"/>
      <c r="E85" s="97"/>
      <c r="F85" s="253"/>
      <c r="G85" s="253"/>
      <c r="H85" s="253"/>
      <c r="I85" s="41" t="s">
        <v>213</v>
      </c>
      <c r="J85" s="41" t="s">
        <v>970</v>
      </c>
      <c r="K85" s="6"/>
      <c r="L85" s="6" t="s">
        <v>47</v>
      </c>
      <c r="M85" s="9">
        <v>0</v>
      </c>
      <c r="N85" s="9">
        <v>0</v>
      </c>
      <c r="O85" s="6" t="s">
        <v>26</v>
      </c>
      <c r="P85" s="9">
        <v>0</v>
      </c>
      <c r="Q85" s="9"/>
      <c r="R85" s="9">
        <v>0</v>
      </c>
      <c r="S85" s="6" t="s">
        <v>761</v>
      </c>
      <c r="T85" s="6" t="s">
        <v>761</v>
      </c>
      <c r="U85" s="6"/>
      <c r="V85" s="6"/>
      <c r="W85" s="6"/>
      <c r="X85" s="6"/>
    </row>
    <row r="86" spans="1:24" ht="24" customHeight="1" x14ac:dyDescent="0.3">
      <c r="A86" s="6" t="s">
        <v>971</v>
      </c>
      <c r="B86" s="6" t="s">
        <v>972</v>
      </c>
      <c r="C86" s="6" t="s">
        <v>973</v>
      </c>
      <c r="D86" s="6"/>
      <c r="E86" s="102"/>
      <c r="F86" s="253"/>
      <c r="G86" s="253"/>
      <c r="H86" s="253"/>
      <c r="I86" s="41" t="s">
        <v>57</v>
      </c>
      <c r="J86" s="41" t="s">
        <v>78</v>
      </c>
      <c r="K86" s="6"/>
      <c r="L86" s="6" t="s">
        <v>47</v>
      </c>
      <c r="M86" s="6">
        <v>0</v>
      </c>
      <c r="N86" s="6">
        <v>0</v>
      </c>
      <c r="O86" s="6" t="s">
        <v>79</v>
      </c>
      <c r="P86" s="6">
        <v>0</v>
      </c>
      <c r="Q86" s="6"/>
      <c r="R86" s="6">
        <v>0</v>
      </c>
      <c r="S86" s="6" t="s">
        <v>761</v>
      </c>
      <c r="T86" s="6" t="s">
        <v>761</v>
      </c>
      <c r="U86" s="6"/>
      <c r="V86" s="6"/>
      <c r="W86" s="6"/>
      <c r="X86" s="6"/>
    </row>
    <row r="87" spans="1:24" ht="24" customHeight="1" x14ac:dyDescent="0.3">
      <c r="A87" s="6" t="s">
        <v>971</v>
      </c>
      <c r="B87" s="6" t="s">
        <v>972</v>
      </c>
      <c r="C87" s="46" t="s">
        <v>973</v>
      </c>
      <c r="D87" s="46"/>
      <c r="E87" s="97"/>
      <c r="F87" s="253"/>
      <c r="G87" s="253"/>
      <c r="H87" s="253"/>
      <c r="I87" s="41" t="s">
        <v>213</v>
      </c>
      <c r="J87" s="41" t="s">
        <v>78</v>
      </c>
      <c r="K87" s="6"/>
      <c r="L87" s="6" t="s">
        <v>47</v>
      </c>
      <c r="M87" s="6">
        <v>0</v>
      </c>
      <c r="N87" s="6">
        <v>0</v>
      </c>
      <c r="O87" s="6" t="s">
        <v>26</v>
      </c>
      <c r="P87" s="9"/>
      <c r="Q87" s="9"/>
      <c r="R87" s="9"/>
      <c r="S87" s="6" t="s">
        <v>761</v>
      </c>
      <c r="T87" s="6" t="s">
        <v>761</v>
      </c>
      <c r="U87" s="6"/>
      <c r="V87" s="6"/>
      <c r="W87" s="6"/>
      <c r="X87" s="6"/>
    </row>
    <row r="88" spans="1:24" s="176" customFormat="1" ht="26.85" customHeight="1" x14ac:dyDescent="0.3">
      <c r="A88" s="276" t="s">
        <v>974</v>
      </c>
      <c r="B88" s="276" t="s">
        <v>975</v>
      </c>
      <c r="C88" s="277" t="s">
        <v>976</v>
      </c>
      <c r="D88" s="277"/>
      <c r="E88" s="277" t="s">
        <v>977</v>
      </c>
      <c r="F88" s="278" t="s">
        <v>978</v>
      </c>
      <c r="G88" s="279">
        <v>45456</v>
      </c>
      <c r="H88" s="278" t="s">
        <v>119</v>
      </c>
      <c r="I88" s="35" t="s">
        <v>57</v>
      </c>
      <c r="J88" s="335" t="s">
        <v>46</v>
      </c>
      <c r="K88" s="280"/>
      <c r="L88" s="276" t="s">
        <v>25</v>
      </c>
      <c r="M88" s="281">
        <v>1052903.3400000001</v>
      </c>
      <c r="N88" s="281">
        <f>M88*0.15</f>
        <v>157935.50100000002</v>
      </c>
      <c r="O88" s="280" t="s">
        <v>72</v>
      </c>
      <c r="P88" s="281">
        <f>N88*0.6</f>
        <v>94761.300600000002</v>
      </c>
      <c r="Q88" s="282" t="s">
        <v>340</v>
      </c>
      <c r="R88" s="281">
        <f>N88*0.4</f>
        <v>63174.200400000009</v>
      </c>
      <c r="S88" s="282" t="s">
        <v>340</v>
      </c>
      <c r="T88" s="282" t="s">
        <v>340</v>
      </c>
      <c r="U88" s="276"/>
      <c r="V88" s="276"/>
      <c r="W88" s="280" t="s">
        <v>223</v>
      </c>
      <c r="X88" s="276"/>
    </row>
    <row r="89" spans="1:24" s="261" customFormat="1" ht="26.85" customHeight="1" x14ac:dyDescent="0.3">
      <c r="A89" s="299" t="s">
        <v>1007</v>
      </c>
      <c r="B89" s="299" t="s">
        <v>1008</v>
      </c>
      <c r="C89" s="299" t="s">
        <v>1009</v>
      </c>
      <c r="D89" s="299" t="s">
        <v>779</v>
      </c>
      <c r="E89" s="286" t="s">
        <v>1010</v>
      </c>
      <c r="F89" s="299" t="s">
        <v>1011</v>
      </c>
      <c r="G89" s="332">
        <v>45573</v>
      </c>
      <c r="H89" s="322" t="s">
        <v>209</v>
      </c>
      <c r="I89" s="334" t="s">
        <v>57</v>
      </c>
      <c r="J89" s="334" t="s">
        <v>118</v>
      </c>
      <c r="K89" s="230" t="s">
        <v>417</v>
      </c>
      <c r="L89" s="299" t="s">
        <v>47</v>
      </c>
      <c r="M89" s="302">
        <v>692068.51</v>
      </c>
      <c r="N89" s="302">
        <f>M89*0.2</f>
        <v>138413.70200000002</v>
      </c>
      <c r="O89" s="324" t="s">
        <v>79</v>
      </c>
      <c r="P89" s="302">
        <f>N89*0.5</f>
        <v>69206.85100000001</v>
      </c>
      <c r="Q89" s="230" t="s">
        <v>340</v>
      </c>
      <c r="R89" s="302">
        <f>N89*0.5</f>
        <v>69206.85100000001</v>
      </c>
      <c r="S89" s="299" t="s">
        <v>27</v>
      </c>
      <c r="T89" s="299" t="s">
        <v>27</v>
      </c>
      <c r="U89" s="299"/>
      <c r="V89" s="299"/>
      <c r="W89" s="299" t="s">
        <v>217</v>
      </c>
      <c r="X89" s="299"/>
    </row>
    <row r="90" spans="1:24" s="261" customFormat="1" ht="26.7" customHeight="1" x14ac:dyDescent="0.3">
      <c r="A90" s="299" t="s">
        <v>1080</v>
      </c>
      <c r="B90" s="299" t="s">
        <v>1081</v>
      </c>
      <c r="C90" s="299" t="s">
        <v>1082</v>
      </c>
      <c r="D90" s="299" t="s">
        <v>779</v>
      </c>
      <c r="E90" s="286" t="s">
        <v>1623</v>
      </c>
      <c r="F90" s="299" t="s">
        <v>1083</v>
      </c>
      <c r="G90" s="332">
        <v>45589</v>
      </c>
      <c r="H90" s="322" t="s">
        <v>209</v>
      </c>
      <c r="I90" s="334" t="s">
        <v>57</v>
      </c>
      <c r="J90" s="334" t="s">
        <v>118</v>
      </c>
      <c r="K90" s="230" t="s">
        <v>417</v>
      </c>
      <c r="L90" s="299" t="s">
        <v>47</v>
      </c>
      <c r="M90" s="302">
        <v>301895.40999999997</v>
      </c>
      <c r="N90" s="302">
        <f>M90*0.2</f>
        <v>60379.081999999995</v>
      </c>
      <c r="O90" s="324" t="s">
        <v>79</v>
      </c>
      <c r="P90" s="302">
        <f>N90*0.5</f>
        <v>30189.540999999997</v>
      </c>
      <c r="Q90" s="230" t="s">
        <v>340</v>
      </c>
      <c r="R90" s="302">
        <f>N90*0.5</f>
        <v>30189.540999999997</v>
      </c>
      <c r="S90" s="299" t="s">
        <v>27</v>
      </c>
      <c r="T90" s="299" t="s">
        <v>27</v>
      </c>
      <c r="U90" s="299"/>
      <c r="V90" s="299"/>
      <c r="W90" s="299" t="s">
        <v>217</v>
      </c>
      <c r="X90" s="299"/>
    </row>
    <row r="91" spans="1:24" s="261" customFormat="1" ht="25.5" customHeight="1" x14ac:dyDescent="0.3">
      <c r="A91" s="299" t="s">
        <v>1080</v>
      </c>
      <c r="B91" s="299" t="s">
        <v>1081</v>
      </c>
      <c r="C91" s="299" t="s">
        <v>1082</v>
      </c>
      <c r="D91" s="299" t="s">
        <v>779</v>
      </c>
      <c r="E91" s="292" t="s">
        <v>1084</v>
      </c>
      <c r="F91" s="299" t="s">
        <v>1085</v>
      </c>
      <c r="G91" s="332">
        <v>45589</v>
      </c>
      <c r="H91" s="322" t="s">
        <v>209</v>
      </c>
      <c r="I91" s="334" t="s">
        <v>213</v>
      </c>
      <c r="J91" s="334" t="s">
        <v>118</v>
      </c>
      <c r="K91" s="230" t="s">
        <v>417</v>
      </c>
      <c r="L91" s="299" t="s">
        <v>47</v>
      </c>
      <c r="M91" s="302">
        <v>59080.43</v>
      </c>
      <c r="N91" s="302">
        <f>M91*0.12</f>
        <v>7089.6516000000001</v>
      </c>
      <c r="O91" s="299" t="s">
        <v>26</v>
      </c>
      <c r="P91" s="302">
        <v>0</v>
      </c>
      <c r="Q91" s="302"/>
      <c r="R91" s="302">
        <f>N91</f>
        <v>7089.6516000000001</v>
      </c>
      <c r="S91" s="299" t="s">
        <v>27</v>
      </c>
      <c r="T91" s="299" t="s">
        <v>27</v>
      </c>
      <c r="U91" s="299"/>
      <c r="V91" s="299"/>
      <c r="W91" s="299" t="s">
        <v>217</v>
      </c>
      <c r="X91" s="299"/>
    </row>
    <row r="92" spans="1:24" s="176" customFormat="1" ht="26.85" customHeight="1" x14ac:dyDescent="0.3">
      <c r="A92" s="276" t="s">
        <v>1166</v>
      </c>
      <c r="B92" s="276" t="s">
        <v>1167</v>
      </c>
      <c r="C92" s="277" t="s">
        <v>1168</v>
      </c>
      <c r="D92" s="277" t="s">
        <v>779</v>
      </c>
      <c r="E92" s="277" t="s">
        <v>1169</v>
      </c>
      <c r="F92" s="278" t="s">
        <v>1170</v>
      </c>
      <c r="G92" s="249">
        <v>45593</v>
      </c>
      <c r="H92" s="242" t="s">
        <v>209</v>
      </c>
      <c r="I92" s="35" t="s">
        <v>213</v>
      </c>
      <c r="J92" s="35" t="s">
        <v>118</v>
      </c>
      <c r="K92" s="46" t="s">
        <v>417</v>
      </c>
      <c r="L92" s="276" t="s">
        <v>47</v>
      </c>
      <c r="M92" s="281">
        <v>12602.44</v>
      </c>
      <c r="N92" s="281">
        <f>M92*0.12</f>
        <v>1512.2927999999999</v>
      </c>
      <c r="O92" s="276" t="s">
        <v>26</v>
      </c>
      <c r="P92" s="281">
        <v>0</v>
      </c>
      <c r="Q92" s="281"/>
      <c r="R92" s="281">
        <f>N92</f>
        <v>1512.2927999999999</v>
      </c>
      <c r="S92" s="276" t="s">
        <v>340</v>
      </c>
      <c r="T92" s="276" t="s">
        <v>340</v>
      </c>
      <c r="U92" s="276"/>
      <c r="V92" s="276"/>
      <c r="W92" s="276"/>
      <c r="X92" s="276"/>
    </row>
    <row r="93" spans="1:24" s="176" customFormat="1" ht="26.85" customHeight="1" x14ac:dyDescent="0.3">
      <c r="A93" s="276" t="s">
        <v>989</v>
      </c>
      <c r="B93" s="276" t="s">
        <v>990</v>
      </c>
      <c r="C93" s="277" t="s">
        <v>991</v>
      </c>
      <c r="D93" s="277"/>
      <c r="E93" s="286" t="s">
        <v>992</v>
      </c>
      <c r="F93" s="276" t="s">
        <v>993</v>
      </c>
      <c r="G93" s="279">
        <v>45538</v>
      </c>
      <c r="H93" s="278" t="s">
        <v>994</v>
      </c>
      <c r="I93" s="35" t="s">
        <v>71</v>
      </c>
      <c r="J93" s="335" t="s">
        <v>24</v>
      </c>
      <c r="K93" s="280"/>
      <c r="L93" s="276" t="s">
        <v>315</v>
      </c>
      <c r="M93" s="281">
        <v>356800</v>
      </c>
      <c r="N93" s="281">
        <f>M93*0.15</f>
        <v>53520</v>
      </c>
      <c r="O93" s="280" t="s">
        <v>26</v>
      </c>
      <c r="P93" s="281">
        <v>0</v>
      </c>
      <c r="Q93" s="281"/>
      <c r="R93" s="281">
        <f>N93</f>
        <v>53520</v>
      </c>
      <c r="S93" s="276" t="s">
        <v>27</v>
      </c>
      <c r="T93" s="276" t="s">
        <v>27</v>
      </c>
      <c r="U93" s="276"/>
      <c r="V93" s="276"/>
      <c r="W93" s="276" t="s">
        <v>209</v>
      </c>
      <c r="X93" s="276"/>
    </row>
    <row r="94" spans="1:24" s="176" customFormat="1" ht="26.85" customHeight="1" x14ac:dyDescent="0.3">
      <c r="A94" s="276" t="s">
        <v>515</v>
      </c>
      <c r="B94" s="276" t="s">
        <v>995</v>
      </c>
      <c r="C94" s="277" t="s">
        <v>996</v>
      </c>
      <c r="D94" s="277"/>
      <c r="E94" s="277" t="s">
        <v>997</v>
      </c>
      <c r="F94" s="278" t="s">
        <v>998</v>
      </c>
      <c r="G94" s="279">
        <v>45512</v>
      </c>
      <c r="H94" s="278" t="s">
        <v>73</v>
      </c>
      <c r="I94" s="35" t="s">
        <v>213</v>
      </c>
      <c r="J94" s="335" t="s">
        <v>78</v>
      </c>
      <c r="K94" s="280"/>
      <c r="L94" s="276" t="s">
        <v>47</v>
      </c>
      <c r="M94" s="281">
        <v>85800</v>
      </c>
      <c r="N94" s="281">
        <f>M94*0.12</f>
        <v>10296</v>
      </c>
      <c r="O94" s="280" t="s">
        <v>26</v>
      </c>
      <c r="P94" s="281">
        <v>0</v>
      </c>
      <c r="Q94" s="281"/>
      <c r="R94" s="281">
        <f>N94</f>
        <v>10296</v>
      </c>
      <c r="S94" s="276" t="s">
        <v>27</v>
      </c>
      <c r="T94" s="276" t="s">
        <v>27</v>
      </c>
      <c r="U94" s="276"/>
      <c r="V94" s="276"/>
      <c r="W94" s="276" t="s">
        <v>209</v>
      </c>
      <c r="X94" s="276"/>
    </row>
    <row r="95" spans="1:24" ht="26.85" customHeight="1" x14ac:dyDescent="0.3">
      <c r="A95" s="283" t="s">
        <v>999</v>
      </c>
      <c r="B95" s="283" t="s">
        <v>1000</v>
      </c>
      <c r="C95" s="286" t="s">
        <v>1001</v>
      </c>
      <c r="D95" s="286"/>
      <c r="E95" s="286"/>
      <c r="F95" s="287"/>
      <c r="G95" s="288"/>
      <c r="H95" s="287"/>
      <c r="I95" s="41" t="s">
        <v>71</v>
      </c>
      <c r="J95" s="45" t="s">
        <v>24</v>
      </c>
      <c r="K95" s="289"/>
      <c r="L95" s="283" t="s">
        <v>315</v>
      </c>
      <c r="M95" s="285"/>
      <c r="N95" s="285"/>
      <c r="O95" s="289" t="s">
        <v>26</v>
      </c>
      <c r="P95" s="285">
        <v>0</v>
      </c>
      <c r="Q95" s="283"/>
      <c r="R95" s="285">
        <f>N95</f>
        <v>0</v>
      </c>
      <c r="S95" s="283"/>
      <c r="T95" s="283"/>
      <c r="U95" s="283"/>
      <c r="V95" s="283"/>
      <c r="W95" s="283"/>
      <c r="X95" s="283"/>
    </row>
    <row r="96" spans="1:24" ht="26.85" customHeight="1" x14ac:dyDescent="0.3">
      <c r="A96" s="283" t="s">
        <v>1002</v>
      </c>
      <c r="B96" s="283" t="s">
        <v>39</v>
      </c>
      <c r="C96" s="283" t="s">
        <v>1003</v>
      </c>
      <c r="D96" s="283"/>
      <c r="E96" s="284"/>
      <c r="F96" s="283"/>
      <c r="G96" s="290"/>
      <c r="H96" s="283"/>
      <c r="I96" s="41" t="s">
        <v>71</v>
      </c>
      <c r="J96" s="41" t="s">
        <v>24</v>
      </c>
      <c r="K96" s="283"/>
      <c r="L96" s="283" t="s">
        <v>25</v>
      </c>
      <c r="M96" s="285">
        <v>0</v>
      </c>
      <c r="N96" s="285">
        <v>0</v>
      </c>
      <c r="O96" s="283" t="s">
        <v>26</v>
      </c>
      <c r="P96" s="285">
        <v>0</v>
      </c>
      <c r="Q96" s="283"/>
      <c r="R96" s="285">
        <v>0</v>
      </c>
      <c r="S96" s="283" t="s">
        <v>761</v>
      </c>
      <c r="T96" s="283" t="s">
        <v>761</v>
      </c>
      <c r="U96" s="283"/>
      <c r="V96" s="283"/>
      <c r="W96" s="283"/>
      <c r="X96" s="283"/>
    </row>
    <row r="97" spans="1:24" s="261" customFormat="1" ht="26.85" customHeight="1" x14ac:dyDescent="0.3">
      <c r="A97" s="230" t="s">
        <v>757</v>
      </c>
      <c r="B97" s="230" t="s">
        <v>758</v>
      </c>
      <c r="C97" s="230" t="s">
        <v>759</v>
      </c>
      <c r="D97" s="230"/>
      <c r="E97" s="247" t="s">
        <v>760</v>
      </c>
      <c r="F97" s="39"/>
      <c r="G97" s="39"/>
      <c r="H97" s="39"/>
      <c r="I97" s="334" t="s">
        <v>57</v>
      </c>
      <c r="J97" s="334" t="s">
        <v>118</v>
      </c>
      <c r="K97" s="230" t="s">
        <v>417</v>
      </c>
      <c r="L97" s="324" t="s">
        <v>47</v>
      </c>
      <c r="M97" s="2"/>
      <c r="N97" s="2">
        <v>0</v>
      </c>
      <c r="O97" s="2" t="s">
        <v>79</v>
      </c>
      <c r="P97" s="230">
        <v>0</v>
      </c>
      <c r="Q97" s="230" t="s">
        <v>27</v>
      </c>
      <c r="R97" s="230">
        <v>0</v>
      </c>
      <c r="S97" s="230" t="s">
        <v>761</v>
      </c>
      <c r="T97" s="230" t="s">
        <v>761</v>
      </c>
      <c r="U97" s="230"/>
      <c r="V97" s="230"/>
      <c r="W97" s="230"/>
      <c r="X97" s="230"/>
    </row>
    <row r="98" spans="1:24" s="261" customFormat="1" ht="26.85" customHeight="1" x14ac:dyDescent="0.3">
      <c r="A98" s="230" t="s">
        <v>757</v>
      </c>
      <c r="B98" s="230" t="s">
        <v>758</v>
      </c>
      <c r="C98" s="230" t="s">
        <v>759</v>
      </c>
      <c r="D98" s="230"/>
      <c r="E98" s="247" t="s">
        <v>760</v>
      </c>
      <c r="F98" s="39"/>
      <c r="G98" s="39"/>
      <c r="H98" s="39"/>
      <c r="I98" s="334" t="s">
        <v>213</v>
      </c>
      <c r="J98" s="334" t="s">
        <v>118</v>
      </c>
      <c r="K98" s="230" t="s">
        <v>417</v>
      </c>
      <c r="L98" s="324" t="s">
        <v>47</v>
      </c>
      <c r="M98" s="2"/>
      <c r="N98" s="2">
        <v>0</v>
      </c>
      <c r="O98" s="2" t="s">
        <v>72</v>
      </c>
      <c r="P98" s="230">
        <v>0</v>
      </c>
      <c r="Q98" s="230"/>
      <c r="R98" s="230">
        <v>0</v>
      </c>
      <c r="S98" s="230" t="s">
        <v>761</v>
      </c>
      <c r="T98" s="230" t="s">
        <v>761</v>
      </c>
      <c r="U98" s="230"/>
      <c r="V98" s="230"/>
      <c r="W98" s="230"/>
      <c r="X98" s="230"/>
    </row>
    <row r="99" spans="1:24" s="176" customFormat="1" ht="26.85" customHeight="1" x14ac:dyDescent="0.3">
      <c r="A99" s="46" t="s">
        <v>817</v>
      </c>
      <c r="B99" s="46" t="s">
        <v>829</v>
      </c>
      <c r="C99" s="46" t="s">
        <v>830</v>
      </c>
      <c r="D99" s="46"/>
      <c r="E99" s="268" t="s">
        <v>831</v>
      </c>
      <c r="F99" s="259" t="s">
        <v>832</v>
      </c>
      <c r="G99" s="259"/>
      <c r="H99" s="259"/>
      <c r="I99" s="35" t="s">
        <v>57</v>
      </c>
      <c r="J99" s="35" t="s">
        <v>118</v>
      </c>
      <c r="K99" s="46" t="s">
        <v>417</v>
      </c>
      <c r="L99" s="46" t="s">
        <v>47</v>
      </c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</row>
    <row r="100" spans="1:24" s="176" customFormat="1" ht="26.85" customHeight="1" x14ac:dyDescent="0.3">
      <c r="A100" s="46" t="s">
        <v>817</v>
      </c>
      <c r="B100" s="46" t="s">
        <v>829</v>
      </c>
      <c r="C100" s="46" t="s">
        <v>833</v>
      </c>
      <c r="D100" s="46"/>
      <c r="E100" s="268" t="s">
        <v>834</v>
      </c>
      <c r="F100" s="259" t="s">
        <v>832</v>
      </c>
      <c r="G100" s="259"/>
      <c r="H100" s="259"/>
      <c r="I100" s="35" t="s">
        <v>213</v>
      </c>
      <c r="J100" s="35" t="s">
        <v>118</v>
      </c>
      <c r="K100" s="46" t="s">
        <v>417</v>
      </c>
      <c r="L100" s="46" t="s">
        <v>47</v>
      </c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</row>
    <row r="101" spans="1:24" s="261" customFormat="1" ht="26.85" customHeight="1" x14ac:dyDescent="0.3">
      <c r="A101" s="230" t="s">
        <v>854</v>
      </c>
      <c r="B101" s="325" t="s">
        <v>855</v>
      </c>
      <c r="C101" s="325" t="s">
        <v>798</v>
      </c>
      <c r="D101" s="325"/>
      <c r="E101" s="359"/>
      <c r="F101" s="39"/>
      <c r="G101" s="39"/>
      <c r="H101" s="39"/>
      <c r="I101" s="334" t="s">
        <v>57</v>
      </c>
      <c r="J101" s="334" t="s">
        <v>118</v>
      </c>
      <c r="K101" s="230" t="s">
        <v>417</v>
      </c>
      <c r="L101" s="230" t="s">
        <v>47</v>
      </c>
      <c r="M101" s="230"/>
      <c r="N101" s="230"/>
      <c r="O101" s="230" t="s">
        <v>79</v>
      </c>
      <c r="P101" s="230"/>
      <c r="Q101" s="230" t="s">
        <v>340</v>
      </c>
      <c r="R101" s="230"/>
      <c r="S101" s="230" t="s">
        <v>761</v>
      </c>
      <c r="T101" s="230" t="s">
        <v>761</v>
      </c>
      <c r="U101" s="230"/>
      <c r="V101" s="230"/>
      <c r="W101" s="230"/>
      <c r="X101" s="230"/>
    </row>
    <row r="102" spans="1:24" s="176" customFormat="1" ht="26.85" customHeight="1" x14ac:dyDescent="0.3">
      <c r="A102" s="276" t="s">
        <v>515</v>
      </c>
      <c r="B102" s="276" t="s">
        <v>1014</v>
      </c>
      <c r="C102" s="276" t="s">
        <v>1015</v>
      </c>
      <c r="D102" s="276"/>
      <c r="E102" s="277" t="s">
        <v>1016</v>
      </c>
      <c r="F102" s="276" t="s">
        <v>1017</v>
      </c>
      <c r="G102" s="291">
        <v>45524</v>
      </c>
      <c r="H102" s="276" t="s">
        <v>73</v>
      </c>
      <c r="I102" s="35" t="s">
        <v>57</v>
      </c>
      <c r="J102" s="335" t="s">
        <v>78</v>
      </c>
      <c r="K102" s="280"/>
      <c r="L102" s="276" t="s">
        <v>47</v>
      </c>
      <c r="M102" s="281">
        <v>2127876.96</v>
      </c>
      <c r="N102" s="281">
        <f>M102*0.15</f>
        <v>319181.54399999999</v>
      </c>
      <c r="O102" s="280" t="s">
        <v>79</v>
      </c>
      <c r="P102" s="281">
        <f>N102*0.3333</f>
        <v>106383.2086152</v>
      </c>
      <c r="Q102" s="282" t="s">
        <v>340</v>
      </c>
      <c r="R102" s="281">
        <f>N102*0.6667</f>
        <v>212798.33538479998</v>
      </c>
      <c r="S102" s="276" t="s">
        <v>27</v>
      </c>
      <c r="T102" s="276" t="s">
        <v>27</v>
      </c>
      <c r="U102" s="276"/>
      <c r="V102" s="276"/>
      <c r="W102" s="276" t="s">
        <v>170</v>
      </c>
      <c r="X102" s="276"/>
    </row>
    <row r="103" spans="1:24" s="176" customFormat="1" ht="26.85" customHeight="1" x14ac:dyDescent="0.3">
      <c r="A103" s="276" t="s">
        <v>515</v>
      </c>
      <c r="B103" s="276" t="s">
        <v>1014</v>
      </c>
      <c r="C103" s="276" t="s">
        <v>1015</v>
      </c>
      <c r="D103" s="276"/>
      <c r="E103" s="277" t="s">
        <v>997</v>
      </c>
      <c r="F103" s="276" t="s">
        <v>1018</v>
      </c>
      <c r="G103" s="291">
        <v>45524</v>
      </c>
      <c r="H103" s="276" t="s">
        <v>73</v>
      </c>
      <c r="I103" s="35" t="s">
        <v>213</v>
      </c>
      <c r="J103" s="335" t="s">
        <v>78</v>
      </c>
      <c r="K103" s="280"/>
      <c r="L103" s="276" t="s">
        <v>47</v>
      </c>
      <c r="M103" s="281">
        <v>444000</v>
      </c>
      <c r="N103" s="281">
        <f>M103*0.12</f>
        <v>53280</v>
      </c>
      <c r="O103" s="280" t="s">
        <v>26</v>
      </c>
      <c r="P103" s="281">
        <v>0</v>
      </c>
      <c r="Q103" s="281"/>
      <c r="R103" s="281">
        <f>N103</f>
        <v>53280</v>
      </c>
      <c r="S103" s="276" t="s">
        <v>27</v>
      </c>
      <c r="T103" s="276" t="s">
        <v>27</v>
      </c>
      <c r="U103" s="276"/>
      <c r="V103" s="276"/>
      <c r="W103" s="276" t="s">
        <v>170</v>
      </c>
      <c r="X103" s="276"/>
    </row>
    <row r="104" spans="1:24" s="176" customFormat="1" ht="26.85" customHeight="1" x14ac:dyDescent="0.3">
      <c r="A104" s="276" t="s">
        <v>1019</v>
      </c>
      <c r="B104" s="276" t="s">
        <v>1020</v>
      </c>
      <c r="C104" s="277" t="s">
        <v>1021</v>
      </c>
      <c r="D104" s="277"/>
      <c r="E104" s="277" t="s">
        <v>1022</v>
      </c>
      <c r="F104" s="276" t="s">
        <v>1023</v>
      </c>
      <c r="G104" s="291">
        <v>45511</v>
      </c>
      <c r="H104" s="276" t="s">
        <v>73</v>
      </c>
      <c r="I104" s="35" t="s">
        <v>57</v>
      </c>
      <c r="J104" s="35" t="s">
        <v>24</v>
      </c>
      <c r="K104" s="276"/>
      <c r="L104" s="276" t="s">
        <v>25</v>
      </c>
      <c r="M104" s="281">
        <v>15317.7</v>
      </c>
      <c r="N104" s="281">
        <f>M104*0.15</f>
        <v>2297.6550000000002</v>
      </c>
      <c r="O104" s="276" t="s">
        <v>26</v>
      </c>
      <c r="P104" s="281">
        <v>0</v>
      </c>
      <c r="Q104" s="281"/>
      <c r="R104" s="281">
        <f>N104</f>
        <v>2297.6550000000002</v>
      </c>
      <c r="S104" s="276" t="s">
        <v>27</v>
      </c>
      <c r="T104" s="276" t="s">
        <v>27</v>
      </c>
      <c r="U104" s="276"/>
      <c r="V104" s="276"/>
      <c r="W104" s="276" t="s">
        <v>73</v>
      </c>
      <c r="X104" s="276"/>
    </row>
    <row r="105" spans="1:24" s="176" customFormat="1" ht="26.85" customHeight="1" x14ac:dyDescent="0.3">
      <c r="A105" s="276" t="s">
        <v>151</v>
      </c>
      <c r="B105" s="276" t="s">
        <v>152</v>
      </c>
      <c r="C105" s="277" t="s">
        <v>1024</v>
      </c>
      <c r="D105" s="277"/>
      <c r="E105" s="292" t="s">
        <v>1025</v>
      </c>
      <c r="F105" s="278" t="s">
        <v>1026</v>
      </c>
      <c r="G105" s="279">
        <v>45439</v>
      </c>
      <c r="H105" s="278" t="s">
        <v>84</v>
      </c>
      <c r="I105" s="35" t="s">
        <v>1027</v>
      </c>
      <c r="J105" s="35" t="s">
        <v>46</v>
      </c>
      <c r="K105" s="276"/>
      <c r="L105" s="276" t="s">
        <v>25</v>
      </c>
      <c r="M105" s="281">
        <v>7952.44</v>
      </c>
      <c r="N105" s="281">
        <f>M105*0.15</f>
        <v>1192.866</v>
      </c>
      <c r="O105" s="276" t="s">
        <v>72</v>
      </c>
      <c r="P105" s="281">
        <f>N105*0.6</f>
        <v>715.71960000000001</v>
      </c>
      <c r="Q105" s="276" t="s">
        <v>27</v>
      </c>
      <c r="R105" s="281">
        <f>N105*0.4</f>
        <v>477.14640000000003</v>
      </c>
      <c r="S105" s="276" t="s">
        <v>27</v>
      </c>
      <c r="T105" s="276" t="s">
        <v>27</v>
      </c>
      <c r="U105" s="276"/>
      <c r="V105" s="276"/>
      <c r="W105" s="276" t="s">
        <v>119</v>
      </c>
      <c r="X105" s="276"/>
    </row>
    <row r="106" spans="1:24" s="261" customFormat="1" ht="26.85" customHeight="1" x14ac:dyDescent="0.3">
      <c r="A106" s="230" t="s">
        <v>854</v>
      </c>
      <c r="B106" s="325" t="s">
        <v>855</v>
      </c>
      <c r="C106" s="325" t="s">
        <v>798</v>
      </c>
      <c r="D106" s="325"/>
      <c r="E106" s="359"/>
      <c r="F106" s="39"/>
      <c r="G106" s="39"/>
      <c r="H106" s="39"/>
      <c r="I106" s="334" t="s">
        <v>213</v>
      </c>
      <c r="J106" s="334" t="s">
        <v>118</v>
      </c>
      <c r="K106" s="230" t="s">
        <v>417</v>
      </c>
      <c r="L106" s="230" t="s">
        <v>47</v>
      </c>
      <c r="M106" s="230"/>
      <c r="N106" s="230"/>
      <c r="O106" s="230" t="s">
        <v>79</v>
      </c>
      <c r="P106" s="230"/>
      <c r="Q106" s="230" t="s">
        <v>340</v>
      </c>
      <c r="R106" s="230"/>
      <c r="S106" s="230" t="s">
        <v>761</v>
      </c>
      <c r="T106" s="230" t="s">
        <v>761</v>
      </c>
      <c r="U106" s="230"/>
      <c r="V106" s="230"/>
      <c r="W106" s="230"/>
      <c r="X106" s="230"/>
    </row>
    <row r="107" spans="1:24" s="176" customFormat="1" ht="26.85" customHeight="1" x14ac:dyDescent="0.3">
      <c r="A107" s="46"/>
      <c r="B107" s="46" t="s">
        <v>856</v>
      </c>
      <c r="C107" s="46" t="s">
        <v>857</v>
      </c>
      <c r="D107" s="46"/>
      <c r="E107" s="97"/>
      <c r="F107" s="259"/>
      <c r="G107" s="259"/>
      <c r="H107" s="259"/>
      <c r="I107" s="35" t="s">
        <v>57</v>
      </c>
      <c r="J107" s="35" t="s">
        <v>118</v>
      </c>
      <c r="K107" s="46" t="s">
        <v>417</v>
      </c>
      <c r="L107" s="46" t="s">
        <v>47</v>
      </c>
      <c r="M107" s="46"/>
      <c r="N107" s="46"/>
      <c r="O107" s="46" t="s">
        <v>79</v>
      </c>
      <c r="P107" s="46"/>
      <c r="Q107" s="46" t="s">
        <v>340</v>
      </c>
      <c r="R107" s="46"/>
      <c r="S107" s="46" t="s">
        <v>761</v>
      </c>
      <c r="T107" s="46" t="s">
        <v>761</v>
      </c>
      <c r="U107" s="46"/>
      <c r="V107" s="46"/>
      <c r="W107" s="46"/>
      <c r="X107" s="46"/>
    </row>
    <row r="108" spans="1:24" s="176" customFormat="1" ht="26.85" customHeight="1" x14ac:dyDescent="0.3">
      <c r="A108" s="276" t="s">
        <v>515</v>
      </c>
      <c r="B108" s="276" t="s">
        <v>1034</v>
      </c>
      <c r="C108" s="276" t="s">
        <v>1035</v>
      </c>
      <c r="D108" s="276"/>
      <c r="E108" s="277" t="s">
        <v>1036</v>
      </c>
      <c r="F108" s="276" t="s">
        <v>1037</v>
      </c>
      <c r="G108" s="291">
        <v>45496</v>
      </c>
      <c r="H108" s="276" t="s">
        <v>144</v>
      </c>
      <c r="I108" s="35" t="s">
        <v>57</v>
      </c>
      <c r="J108" s="35" t="s">
        <v>24</v>
      </c>
      <c r="K108" s="276"/>
      <c r="L108" s="276" t="s">
        <v>25</v>
      </c>
      <c r="M108" s="281">
        <v>7920</v>
      </c>
      <c r="N108" s="281">
        <f>M108*0.15</f>
        <v>1188</v>
      </c>
      <c r="O108" s="280" t="s">
        <v>26</v>
      </c>
      <c r="P108" s="281">
        <v>0</v>
      </c>
      <c r="Q108" s="281"/>
      <c r="R108" s="281">
        <f>N108</f>
        <v>1188</v>
      </c>
      <c r="S108" s="293" t="s">
        <v>27</v>
      </c>
      <c r="T108" s="293" t="s">
        <v>27</v>
      </c>
      <c r="U108" s="276"/>
      <c r="V108" s="276"/>
      <c r="W108" s="276" t="s">
        <v>144</v>
      </c>
      <c r="X108" s="276"/>
    </row>
    <row r="109" spans="1:24" ht="26.85" customHeight="1" x14ac:dyDescent="0.3">
      <c r="A109" s="276" t="s">
        <v>891</v>
      </c>
      <c r="B109" s="276" t="s">
        <v>1038</v>
      </c>
      <c r="C109" s="283" t="s">
        <v>1039</v>
      </c>
      <c r="D109" s="283"/>
      <c r="E109" s="284"/>
      <c r="F109" s="283"/>
      <c r="G109" s="283"/>
      <c r="H109" s="283"/>
      <c r="I109" s="41" t="s">
        <v>57</v>
      </c>
      <c r="J109" s="41" t="s">
        <v>78</v>
      </c>
      <c r="K109" s="283"/>
      <c r="L109" s="283" t="s">
        <v>47</v>
      </c>
      <c r="M109" s="285">
        <v>0</v>
      </c>
      <c r="N109" s="285">
        <v>0</v>
      </c>
      <c r="O109" s="283" t="s">
        <v>79</v>
      </c>
      <c r="P109" s="285">
        <v>0</v>
      </c>
      <c r="Q109" s="283"/>
      <c r="R109" s="285">
        <v>0</v>
      </c>
      <c r="S109" s="283" t="s">
        <v>761</v>
      </c>
      <c r="T109" s="283" t="s">
        <v>761</v>
      </c>
      <c r="U109" s="283"/>
      <c r="V109" s="283"/>
      <c r="W109" s="283"/>
      <c r="X109" s="283"/>
    </row>
    <row r="110" spans="1:24" ht="26.85" customHeight="1" x14ac:dyDescent="0.3">
      <c r="A110" s="276" t="s">
        <v>891</v>
      </c>
      <c r="B110" s="276" t="s">
        <v>1038</v>
      </c>
      <c r="C110" s="283" t="s">
        <v>1039</v>
      </c>
      <c r="D110" s="283"/>
      <c r="E110" s="284"/>
      <c r="F110" s="283"/>
      <c r="G110" s="283"/>
      <c r="H110" s="283"/>
      <c r="I110" s="41" t="s">
        <v>213</v>
      </c>
      <c r="J110" s="41" t="s">
        <v>78</v>
      </c>
      <c r="K110" s="283"/>
      <c r="L110" s="283" t="s">
        <v>47</v>
      </c>
      <c r="M110" s="285">
        <v>0</v>
      </c>
      <c r="N110" s="285">
        <v>0</v>
      </c>
      <c r="O110" s="283" t="s">
        <v>26</v>
      </c>
      <c r="P110" s="285">
        <v>0</v>
      </c>
      <c r="Q110" s="283"/>
      <c r="R110" s="285">
        <v>0</v>
      </c>
      <c r="S110" s="283" t="s">
        <v>761</v>
      </c>
      <c r="T110" s="283" t="s">
        <v>761</v>
      </c>
      <c r="U110" s="283"/>
      <c r="V110" s="283"/>
      <c r="W110" s="283"/>
      <c r="X110" s="283"/>
    </row>
    <row r="111" spans="1:24" s="176" customFormat="1" ht="26.85" customHeight="1" x14ac:dyDescent="0.3">
      <c r="A111" s="276"/>
      <c r="B111" s="276" t="s">
        <v>1040</v>
      </c>
      <c r="C111" s="276" t="s">
        <v>1041</v>
      </c>
      <c r="D111" s="276"/>
      <c r="E111" s="277"/>
      <c r="F111" s="276"/>
      <c r="G111" s="276"/>
      <c r="H111" s="276"/>
      <c r="I111" s="35" t="s">
        <v>57</v>
      </c>
      <c r="J111" s="35" t="s">
        <v>24</v>
      </c>
      <c r="K111" s="276"/>
      <c r="L111" s="276" t="s">
        <v>1042</v>
      </c>
      <c r="M111" s="281">
        <v>0</v>
      </c>
      <c r="N111" s="281">
        <v>0</v>
      </c>
      <c r="O111" s="276" t="s">
        <v>26</v>
      </c>
      <c r="P111" s="281">
        <v>0</v>
      </c>
      <c r="Q111" s="276"/>
      <c r="R111" s="281">
        <v>0</v>
      </c>
      <c r="S111" s="276" t="s">
        <v>761</v>
      </c>
      <c r="T111" s="276" t="s">
        <v>761</v>
      </c>
      <c r="U111" s="276"/>
      <c r="V111" s="276"/>
      <c r="W111" s="276"/>
      <c r="X111" s="276"/>
    </row>
    <row r="112" spans="1:24" s="176" customFormat="1" ht="26.85" customHeight="1" x14ac:dyDescent="0.3">
      <c r="A112" s="46"/>
      <c r="B112" s="46" t="s">
        <v>856</v>
      </c>
      <c r="C112" s="46" t="s">
        <v>857</v>
      </c>
      <c r="D112" s="46"/>
      <c r="E112" s="97"/>
      <c r="F112" s="259"/>
      <c r="G112" s="259"/>
      <c r="H112" s="259"/>
      <c r="I112" s="35" t="s">
        <v>213</v>
      </c>
      <c r="J112" s="35" t="s">
        <v>118</v>
      </c>
      <c r="K112" s="46" t="s">
        <v>417</v>
      </c>
      <c r="L112" s="46" t="s">
        <v>47</v>
      </c>
      <c r="M112" s="46"/>
      <c r="N112" s="46"/>
      <c r="O112" s="46" t="s">
        <v>79</v>
      </c>
      <c r="P112" s="46"/>
      <c r="Q112" s="46" t="s">
        <v>340</v>
      </c>
      <c r="R112" s="46"/>
      <c r="S112" s="46" t="s">
        <v>761</v>
      </c>
      <c r="T112" s="46" t="s">
        <v>761</v>
      </c>
      <c r="U112" s="46"/>
      <c r="V112" s="46"/>
      <c r="W112" s="46"/>
      <c r="X112" s="46"/>
    </row>
    <row r="113" spans="1:24" s="261" customFormat="1" ht="26.85" customHeight="1" x14ac:dyDescent="0.3">
      <c r="A113" s="299" t="s">
        <v>507</v>
      </c>
      <c r="B113" s="299" t="s">
        <v>979</v>
      </c>
      <c r="C113" s="299" t="s">
        <v>980</v>
      </c>
      <c r="D113" s="299"/>
      <c r="E113" s="286"/>
      <c r="F113" s="299" t="s">
        <v>981</v>
      </c>
      <c r="G113" s="39"/>
      <c r="H113" s="39"/>
      <c r="I113" s="334" t="s">
        <v>57</v>
      </c>
      <c r="J113" s="334" t="s">
        <v>118</v>
      </c>
      <c r="K113" s="230" t="s">
        <v>417</v>
      </c>
      <c r="L113" s="299" t="s">
        <v>47</v>
      </c>
      <c r="M113" s="302">
        <v>0</v>
      </c>
      <c r="N113" s="302">
        <v>0</v>
      </c>
      <c r="O113" s="299" t="s">
        <v>79</v>
      </c>
      <c r="P113" s="302">
        <v>0</v>
      </c>
      <c r="Q113" s="299"/>
      <c r="R113" s="302">
        <v>0</v>
      </c>
      <c r="S113" s="299" t="s">
        <v>761</v>
      </c>
      <c r="T113" s="299" t="s">
        <v>761</v>
      </c>
      <c r="U113" s="299"/>
      <c r="V113" s="299"/>
      <c r="W113" s="299"/>
      <c r="X113" s="299"/>
    </row>
    <row r="114" spans="1:24" s="176" customFormat="1" ht="24.75" customHeight="1" x14ac:dyDescent="0.3">
      <c r="A114" s="276" t="s">
        <v>151</v>
      </c>
      <c r="B114" s="276" t="s">
        <v>558</v>
      </c>
      <c r="C114" s="276" t="s">
        <v>1052</v>
      </c>
      <c r="D114" s="276"/>
      <c r="E114" s="277" t="s">
        <v>1053</v>
      </c>
      <c r="F114" s="276" t="s">
        <v>1054</v>
      </c>
      <c r="G114" s="291">
        <v>45473</v>
      </c>
      <c r="H114" s="276" t="s">
        <v>119</v>
      </c>
      <c r="I114" s="35" t="s">
        <v>57</v>
      </c>
      <c r="J114" s="35" t="s">
        <v>46</v>
      </c>
      <c r="K114" s="276"/>
      <c r="L114" s="276" t="s">
        <v>25</v>
      </c>
      <c r="M114" s="281">
        <v>265000</v>
      </c>
      <c r="N114" s="281">
        <f>M114*0.15</f>
        <v>39750</v>
      </c>
      <c r="O114" s="276" t="s">
        <v>72</v>
      </c>
      <c r="P114" s="281">
        <f>N114*0.6</f>
        <v>23850</v>
      </c>
      <c r="Q114" s="293" t="s">
        <v>27</v>
      </c>
      <c r="R114" s="281">
        <f>N114*0.4</f>
        <v>15900</v>
      </c>
      <c r="S114" s="293" t="s">
        <v>27</v>
      </c>
      <c r="T114" s="293" t="s">
        <v>27</v>
      </c>
      <c r="U114" s="276"/>
      <c r="V114" s="276"/>
      <c r="W114" s="276" t="s">
        <v>73</v>
      </c>
      <c r="X114" s="276"/>
    </row>
    <row r="115" spans="1:24" s="176" customFormat="1" ht="26.85" customHeight="1" x14ac:dyDescent="0.3">
      <c r="A115" s="276" t="s">
        <v>1055</v>
      </c>
      <c r="B115" s="276" t="s">
        <v>1056</v>
      </c>
      <c r="C115" s="276" t="s">
        <v>1057</v>
      </c>
      <c r="D115" s="276"/>
      <c r="E115" s="277" t="s">
        <v>1058</v>
      </c>
      <c r="F115" s="276" t="s">
        <v>1059</v>
      </c>
      <c r="G115" s="291">
        <v>45484</v>
      </c>
      <c r="H115" s="276" t="s">
        <v>144</v>
      </c>
      <c r="I115" s="35" t="s">
        <v>57</v>
      </c>
      <c r="J115" s="35" t="s">
        <v>46</v>
      </c>
      <c r="K115" s="276"/>
      <c r="L115" s="276" t="s">
        <v>25</v>
      </c>
      <c r="M115" s="281">
        <v>207000</v>
      </c>
      <c r="N115" s="281">
        <f>M115*0.15</f>
        <v>31050</v>
      </c>
      <c r="O115" s="280" t="s">
        <v>72</v>
      </c>
      <c r="P115" s="281">
        <f>N115*0.6</f>
        <v>18630</v>
      </c>
      <c r="Q115" s="293" t="s">
        <v>27</v>
      </c>
      <c r="R115" s="281">
        <f>N115*0.4</f>
        <v>12420</v>
      </c>
      <c r="S115" s="293" t="s">
        <v>27</v>
      </c>
      <c r="T115" s="293" t="s">
        <v>27</v>
      </c>
      <c r="U115" s="276"/>
      <c r="V115" s="276"/>
      <c r="W115" s="276" t="s">
        <v>144</v>
      </c>
      <c r="X115" s="276"/>
    </row>
    <row r="116" spans="1:24" s="176" customFormat="1" ht="26.85" customHeight="1" x14ac:dyDescent="0.3">
      <c r="A116" s="276" t="s">
        <v>1060</v>
      </c>
      <c r="B116" s="276" t="s">
        <v>1061</v>
      </c>
      <c r="C116" s="276" t="s">
        <v>1062</v>
      </c>
      <c r="D116" s="276"/>
      <c r="E116" s="277" t="s">
        <v>1063</v>
      </c>
      <c r="F116" s="276" t="s">
        <v>1064</v>
      </c>
      <c r="G116" s="291">
        <v>45471</v>
      </c>
      <c r="H116" s="276" t="s">
        <v>119</v>
      </c>
      <c r="I116" s="35" t="s">
        <v>57</v>
      </c>
      <c r="J116" s="35" t="s">
        <v>46</v>
      </c>
      <c r="K116" s="276"/>
      <c r="L116" s="276" t="s">
        <v>25</v>
      </c>
      <c r="M116" s="281">
        <v>28602.82</v>
      </c>
      <c r="N116" s="281">
        <f>M116*0.15</f>
        <v>4290.4229999999998</v>
      </c>
      <c r="O116" s="280" t="s">
        <v>72</v>
      </c>
      <c r="P116" s="281">
        <f>N116*0.6</f>
        <v>2574.2538</v>
      </c>
      <c r="Q116" s="293" t="s">
        <v>27</v>
      </c>
      <c r="R116" s="281">
        <f>N116*0.4</f>
        <v>1716.1692</v>
      </c>
      <c r="S116" s="293" t="s">
        <v>27</v>
      </c>
      <c r="T116" s="293" t="s">
        <v>27</v>
      </c>
      <c r="U116" s="276"/>
      <c r="V116" s="276"/>
      <c r="W116" s="276" t="s">
        <v>144</v>
      </c>
      <c r="X116" s="276"/>
    </row>
    <row r="117" spans="1:24" s="176" customFormat="1" ht="26.85" customHeight="1" x14ac:dyDescent="0.3">
      <c r="A117" s="294" t="s">
        <v>1065</v>
      </c>
      <c r="B117" s="294" t="s">
        <v>1066</v>
      </c>
      <c r="C117" s="294" t="s">
        <v>1067</v>
      </c>
      <c r="D117" s="294"/>
      <c r="E117" s="295" t="s">
        <v>1068</v>
      </c>
      <c r="F117" s="294" t="s">
        <v>1069</v>
      </c>
      <c r="G117" s="296">
        <v>45511</v>
      </c>
      <c r="H117" s="294" t="s">
        <v>73</v>
      </c>
      <c r="I117" s="35" t="s">
        <v>57</v>
      </c>
      <c r="J117" s="340" t="s">
        <v>46</v>
      </c>
      <c r="K117" s="294"/>
      <c r="L117" s="294" t="s">
        <v>25</v>
      </c>
      <c r="M117" s="297">
        <v>96000</v>
      </c>
      <c r="N117" s="297">
        <f>M117*0.15</f>
        <v>14400</v>
      </c>
      <c r="O117" s="294" t="s">
        <v>72</v>
      </c>
      <c r="P117" s="297">
        <f>N117*0.6</f>
        <v>8640</v>
      </c>
      <c r="Q117" s="293" t="s">
        <v>27</v>
      </c>
      <c r="R117" s="297">
        <f>N117*0.4</f>
        <v>5760</v>
      </c>
      <c r="S117" s="293" t="s">
        <v>27</v>
      </c>
      <c r="T117" s="293" t="s">
        <v>27</v>
      </c>
      <c r="U117" s="294"/>
      <c r="V117" s="294"/>
      <c r="W117" s="294" t="s">
        <v>73</v>
      </c>
      <c r="X117" s="294"/>
    </row>
    <row r="118" spans="1:24" s="176" customFormat="1" ht="26.85" customHeight="1" x14ac:dyDescent="0.3">
      <c r="A118" s="276" t="s">
        <v>752</v>
      </c>
      <c r="B118" s="276" t="s">
        <v>1070</v>
      </c>
      <c r="C118" s="276"/>
      <c r="D118" s="276"/>
      <c r="E118" s="277"/>
      <c r="F118" s="276"/>
      <c r="G118" s="276"/>
      <c r="H118" s="276"/>
      <c r="I118" s="35" t="s">
        <v>71</v>
      </c>
      <c r="J118" s="35" t="s">
        <v>24</v>
      </c>
      <c r="K118" s="276"/>
      <c r="L118" s="276" t="s">
        <v>315</v>
      </c>
      <c r="M118" s="281"/>
      <c r="N118" s="281"/>
      <c r="O118" s="276"/>
      <c r="P118" s="281"/>
      <c r="Q118" s="276"/>
      <c r="R118" s="276"/>
      <c r="S118" s="276"/>
      <c r="T118" s="276"/>
      <c r="U118" s="276"/>
      <c r="V118" s="276"/>
      <c r="W118" s="276"/>
      <c r="X118" s="276"/>
    </row>
    <row r="119" spans="1:24" s="261" customFormat="1" ht="26.85" customHeight="1" x14ac:dyDescent="0.3">
      <c r="A119" s="298" t="s">
        <v>91</v>
      </c>
      <c r="B119" s="298" t="s">
        <v>1071</v>
      </c>
      <c r="C119" s="299" t="s">
        <v>1072</v>
      </c>
      <c r="D119" s="299"/>
      <c r="E119" s="286"/>
      <c r="F119" s="299"/>
      <c r="G119" s="300"/>
      <c r="H119" s="299"/>
      <c r="I119" s="334" t="s">
        <v>145</v>
      </c>
      <c r="J119" s="336" t="s">
        <v>24</v>
      </c>
      <c r="K119" s="301"/>
      <c r="L119" s="299" t="s">
        <v>142</v>
      </c>
      <c r="M119" s="302">
        <v>532805.85</v>
      </c>
      <c r="N119" s="302">
        <f>M119*0.2</f>
        <v>106561.17</v>
      </c>
      <c r="O119" s="301" t="s">
        <v>26</v>
      </c>
      <c r="P119" s="302">
        <v>0</v>
      </c>
      <c r="Q119" s="302"/>
      <c r="R119" s="302">
        <f>N119</f>
        <v>106561.17</v>
      </c>
      <c r="S119" s="299" t="s">
        <v>27</v>
      </c>
      <c r="T119" s="299" t="s">
        <v>27</v>
      </c>
      <c r="U119" s="299"/>
      <c r="V119" s="299"/>
      <c r="W119" s="301" t="s">
        <v>223</v>
      </c>
      <c r="X119" s="299"/>
    </row>
    <row r="120" spans="1:24" s="176" customFormat="1" ht="26.85" customHeight="1" x14ac:dyDescent="0.3">
      <c r="A120" s="276" t="s">
        <v>1073</v>
      </c>
      <c r="B120" s="276" t="s">
        <v>1074</v>
      </c>
      <c r="C120" s="276" t="s">
        <v>1075</v>
      </c>
      <c r="D120" s="276"/>
      <c r="E120" s="277"/>
      <c r="F120" s="276"/>
      <c r="G120" s="276"/>
      <c r="H120" s="276"/>
      <c r="I120" s="35" t="s">
        <v>71</v>
      </c>
      <c r="J120" s="35" t="s">
        <v>24</v>
      </c>
      <c r="K120" s="276"/>
      <c r="L120" s="276" t="s">
        <v>315</v>
      </c>
      <c r="M120" s="281">
        <v>0</v>
      </c>
      <c r="N120" s="281">
        <v>0</v>
      </c>
      <c r="O120" s="276" t="s">
        <v>26</v>
      </c>
      <c r="P120" s="281">
        <v>0</v>
      </c>
      <c r="Q120" s="276"/>
      <c r="R120" s="276"/>
      <c r="S120" s="276" t="s">
        <v>761</v>
      </c>
      <c r="T120" s="276" t="s">
        <v>761</v>
      </c>
      <c r="U120" s="276"/>
      <c r="V120" s="276"/>
      <c r="W120" s="276"/>
      <c r="X120" s="276"/>
    </row>
    <row r="121" spans="1:24" s="176" customFormat="1" ht="26.85" customHeight="1" x14ac:dyDescent="0.3">
      <c r="A121" s="276" t="s">
        <v>1076</v>
      </c>
      <c r="B121" s="276" t="s">
        <v>1077</v>
      </c>
      <c r="C121" s="276"/>
      <c r="D121" s="276"/>
      <c r="E121" s="277"/>
      <c r="F121" s="276"/>
      <c r="G121" s="276"/>
      <c r="H121" s="276"/>
      <c r="I121" s="35" t="s">
        <v>71</v>
      </c>
      <c r="J121" s="35" t="s">
        <v>1078</v>
      </c>
      <c r="K121" s="276"/>
      <c r="L121" s="276" t="s">
        <v>315</v>
      </c>
      <c r="M121" s="281">
        <v>0</v>
      </c>
      <c r="N121" s="281">
        <v>0</v>
      </c>
      <c r="O121" s="276" t="s">
        <v>26</v>
      </c>
      <c r="P121" s="281">
        <v>0</v>
      </c>
      <c r="Q121" s="276"/>
      <c r="R121" s="276"/>
      <c r="S121" s="276" t="s">
        <v>761</v>
      </c>
      <c r="T121" s="276" t="s">
        <v>761</v>
      </c>
      <c r="U121" s="276"/>
      <c r="V121" s="276"/>
      <c r="W121" s="276"/>
      <c r="X121" s="276"/>
    </row>
    <row r="122" spans="1:24" s="261" customFormat="1" ht="26.85" customHeight="1" x14ac:dyDescent="0.3">
      <c r="A122" s="299" t="s">
        <v>507</v>
      </c>
      <c r="B122" s="299" t="s">
        <v>979</v>
      </c>
      <c r="C122" s="299" t="s">
        <v>980</v>
      </c>
      <c r="D122" s="299"/>
      <c r="E122" s="286"/>
      <c r="F122" s="299" t="s">
        <v>981</v>
      </c>
      <c r="G122" s="39"/>
      <c r="H122" s="39"/>
      <c r="I122" s="334" t="s">
        <v>213</v>
      </c>
      <c r="J122" s="334" t="s">
        <v>118</v>
      </c>
      <c r="K122" s="230" t="s">
        <v>417</v>
      </c>
      <c r="L122" s="299" t="s">
        <v>47</v>
      </c>
      <c r="M122" s="302">
        <v>0</v>
      </c>
      <c r="N122" s="302">
        <v>0</v>
      </c>
      <c r="O122" s="299" t="s">
        <v>26</v>
      </c>
      <c r="P122" s="302">
        <v>0</v>
      </c>
      <c r="Q122" s="299"/>
      <c r="R122" s="302">
        <v>0</v>
      </c>
      <c r="S122" s="299" t="s">
        <v>761</v>
      </c>
      <c r="T122" s="299" t="s">
        <v>761</v>
      </c>
      <c r="U122" s="299"/>
      <c r="V122" s="299"/>
      <c r="W122" s="299"/>
      <c r="X122" s="299"/>
    </row>
    <row r="123" spans="1:24" s="176" customFormat="1" ht="26.85" customHeight="1" x14ac:dyDescent="0.3">
      <c r="A123" s="276" t="s">
        <v>1004</v>
      </c>
      <c r="B123" s="276" t="s">
        <v>1005</v>
      </c>
      <c r="C123" s="276"/>
      <c r="D123" s="276"/>
      <c r="E123" s="277"/>
      <c r="F123" s="276"/>
      <c r="G123" s="259"/>
      <c r="H123" s="259"/>
      <c r="I123" s="35" t="s">
        <v>57</v>
      </c>
      <c r="J123" s="35" t="s">
        <v>118</v>
      </c>
      <c r="K123" s="46" t="s">
        <v>417</v>
      </c>
      <c r="L123" s="276" t="s">
        <v>47</v>
      </c>
      <c r="M123" s="281">
        <v>0</v>
      </c>
      <c r="N123" s="281">
        <v>0</v>
      </c>
      <c r="O123" s="276" t="s">
        <v>79</v>
      </c>
      <c r="P123" s="281">
        <v>0</v>
      </c>
      <c r="Q123" s="276"/>
      <c r="R123" s="281">
        <v>0</v>
      </c>
      <c r="S123" s="276" t="s">
        <v>761</v>
      </c>
      <c r="T123" s="276" t="s">
        <v>761</v>
      </c>
      <c r="U123" s="276"/>
      <c r="V123" s="276"/>
      <c r="W123" s="276"/>
      <c r="X123" s="276"/>
    </row>
    <row r="124" spans="1:24" s="176" customFormat="1" ht="34.35" customHeight="1" x14ac:dyDescent="0.3">
      <c r="A124" s="276" t="s">
        <v>1004</v>
      </c>
      <c r="B124" s="276" t="s">
        <v>1005</v>
      </c>
      <c r="C124" s="276"/>
      <c r="D124" s="276"/>
      <c r="E124" s="277"/>
      <c r="F124" s="276"/>
      <c r="G124" s="259"/>
      <c r="H124" s="259"/>
      <c r="I124" s="35" t="s">
        <v>213</v>
      </c>
      <c r="J124" s="35" t="s">
        <v>118</v>
      </c>
      <c r="K124" s="46" t="s">
        <v>417</v>
      </c>
      <c r="L124" s="276" t="s">
        <v>47</v>
      </c>
      <c r="M124" s="281">
        <v>0</v>
      </c>
      <c r="N124" s="281">
        <v>0</v>
      </c>
      <c r="O124" s="276" t="s">
        <v>26</v>
      </c>
      <c r="P124" s="281">
        <v>0</v>
      </c>
      <c r="Q124" s="276"/>
      <c r="R124" s="281">
        <v>0</v>
      </c>
      <c r="S124" s="276" t="s">
        <v>761</v>
      </c>
      <c r="T124" s="276" t="s">
        <v>761</v>
      </c>
      <c r="U124" s="276"/>
      <c r="V124" s="276"/>
      <c r="W124" s="276"/>
      <c r="X124" s="276"/>
    </row>
    <row r="125" spans="1:24" s="261" customFormat="1" ht="34.35" customHeight="1" x14ac:dyDescent="0.3">
      <c r="A125" s="299" t="s">
        <v>1006</v>
      </c>
      <c r="B125" s="299"/>
      <c r="C125" s="299"/>
      <c r="D125" s="299"/>
      <c r="E125" s="286"/>
      <c r="F125" s="299"/>
      <c r="G125" s="39"/>
      <c r="H125" s="39"/>
      <c r="I125" s="334" t="s">
        <v>57</v>
      </c>
      <c r="J125" s="334" t="s">
        <v>118</v>
      </c>
      <c r="K125" s="230" t="s">
        <v>417</v>
      </c>
      <c r="L125" s="299" t="s">
        <v>47</v>
      </c>
      <c r="M125" s="302">
        <v>0</v>
      </c>
      <c r="N125" s="302">
        <v>0</v>
      </c>
      <c r="O125" s="299" t="s">
        <v>79</v>
      </c>
      <c r="P125" s="302">
        <v>0</v>
      </c>
      <c r="Q125" s="299"/>
      <c r="R125" s="302">
        <v>0</v>
      </c>
      <c r="S125" s="299" t="s">
        <v>761</v>
      </c>
      <c r="T125" s="299" t="s">
        <v>761</v>
      </c>
      <c r="U125" s="299"/>
      <c r="V125" s="299"/>
      <c r="W125" s="299"/>
      <c r="X125" s="299"/>
    </row>
    <row r="126" spans="1:24" ht="34.35" customHeight="1" x14ac:dyDescent="0.3">
      <c r="A126" s="283" t="s">
        <v>1086</v>
      </c>
      <c r="B126" s="283" t="s">
        <v>1087</v>
      </c>
      <c r="C126" s="316" t="s">
        <v>1088</v>
      </c>
      <c r="D126" s="316"/>
      <c r="E126" s="284" t="s">
        <v>1089</v>
      </c>
      <c r="F126" s="283" t="s">
        <v>1090</v>
      </c>
      <c r="G126" s="290">
        <v>45397</v>
      </c>
      <c r="H126" s="283" t="s">
        <v>99</v>
      </c>
      <c r="I126" s="41" t="s">
        <v>1091</v>
      </c>
      <c r="J126" s="41" t="s">
        <v>1092</v>
      </c>
      <c r="K126" s="283"/>
      <c r="L126" s="283" t="s">
        <v>472</v>
      </c>
      <c r="M126" s="285">
        <v>10563.61</v>
      </c>
      <c r="N126" s="285">
        <f>M126*0.207234</f>
        <v>2189.1391547400003</v>
      </c>
      <c r="O126" s="289" t="s">
        <v>1093</v>
      </c>
      <c r="P126" s="285">
        <f>N126*0.4</f>
        <v>875.6556618960002</v>
      </c>
      <c r="Q126" s="282" t="s">
        <v>340</v>
      </c>
      <c r="R126" s="285">
        <f>N126*0.6</f>
        <v>1313.4834928440002</v>
      </c>
      <c r="S126" s="283" t="s">
        <v>27</v>
      </c>
      <c r="T126" s="283" t="s">
        <v>27</v>
      </c>
      <c r="U126" s="283"/>
      <c r="V126" s="283"/>
      <c r="W126" s="283" t="s">
        <v>144</v>
      </c>
      <c r="X126" s="283"/>
    </row>
    <row r="127" spans="1:24" ht="34.35" customHeight="1" x14ac:dyDescent="0.3">
      <c r="A127" s="276" t="s">
        <v>1094</v>
      </c>
      <c r="B127" s="276" t="s">
        <v>1095</v>
      </c>
      <c r="C127" s="283" t="s">
        <v>1096</v>
      </c>
      <c r="D127" s="283"/>
      <c r="E127" s="284" t="s">
        <v>1089</v>
      </c>
      <c r="F127" s="283" t="s">
        <v>1097</v>
      </c>
      <c r="G127" s="290">
        <v>45397</v>
      </c>
      <c r="H127" s="283" t="s">
        <v>99</v>
      </c>
      <c r="I127" s="41" t="s">
        <v>1098</v>
      </c>
      <c r="J127" s="41" t="s">
        <v>1092</v>
      </c>
      <c r="K127" s="283"/>
      <c r="L127" s="283" t="s">
        <v>472</v>
      </c>
      <c r="M127" s="285">
        <v>0</v>
      </c>
      <c r="N127" s="285">
        <v>706.29</v>
      </c>
      <c r="O127" s="289" t="s">
        <v>1099</v>
      </c>
      <c r="P127" s="285">
        <f>N127</f>
        <v>706.29</v>
      </c>
      <c r="Q127" s="304" t="s">
        <v>27</v>
      </c>
      <c r="R127" s="285">
        <v>0</v>
      </c>
      <c r="S127" s="293" t="s">
        <v>27</v>
      </c>
      <c r="T127" s="293" t="s">
        <v>27</v>
      </c>
      <c r="U127" s="283"/>
      <c r="V127" s="283"/>
      <c r="W127" s="283" t="s">
        <v>144</v>
      </c>
      <c r="X127" s="283"/>
    </row>
    <row r="128" spans="1:24" s="261" customFormat="1" ht="34.35" customHeight="1" x14ac:dyDescent="0.3">
      <c r="A128" s="298" t="s">
        <v>1100</v>
      </c>
      <c r="B128" s="298" t="s">
        <v>1100</v>
      </c>
      <c r="C128" s="317" t="s">
        <v>1101</v>
      </c>
      <c r="D128" s="317"/>
      <c r="E128" s="286"/>
      <c r="F128" s="299"/>
      <c r="G128" s="300"/>
      <c r="H128" s="299"/>
      <c r="I128" s="334" t="s">
        <v>1091</v>
      </c>
      <c r="J128" s="334" t="s">
        <v>24</v>
      </c>
      <c r="K128" s="299"/>
      <c r="L128" s="299" t="s">
        <v>596</v>
      </c>
      <c r="M128" s="302">
        <v>23439.65</v>
      </c>
      <c r="N128" s="302">
        <f>M128*0.2</f>
        <v>4687.93</v>
      </c>
      <c r="O128" s="301" t="s">
        <v>26</v>
      </c>
      <c r="P128" s="302">
        <v>0</v>
      </c>
      <c r="Q128" s="302"/>
      <c r="R128" s="302">
        <f>N128</f>
        <v>4687.93</v>
      </c>
      <c r="S128" s="299" t="s">
        <v>27</v>
      </c>
      <c r="T128" s="299" t="s">
        <v>27</v>
      </c>
      <c r="U128" s="299"/>
      <c r="V128" s="299"/>
      <c r="W128" s="299" t="s">
        <v>144</v>
      </c>
      <c r="X128" s="299"/>
    </row>
    <row r="129" spans="1:24" ht="34.35" customHeight="1" x14ac:dyDescent="0.3">
      <c r="A129" s="276" t="s">
        <v>1102</v>
      </c>
      <c r="B129" s="276" t="s">
        <v>1103</v>
      </c>
      <c r="C129" s="283" t="s">
        <v>1104</v>
      </c>
      <c r="D129" s="283"/>
      <c r="E129" s="284" t="s">
        <v>1105</v>
      </c>
      <c r="F129" s="283" t="s">
        <v>1106</v>
      </c>
      <c r="G129" s="290">
        <v>45538</v>
      </c>
      <c r="H129" s="283" t="s">
        <v>994</v>
      </c>
      <c r="I129" s="35" t="s">
        <v>57</v>
      </c>
      <c r="J129" s="45" t="s">
        <v>46</v>
      </c>
      <c r="K129" s="289"/>
      <c r="L129" s="283" t="s">
        <v>315</v>
      </c>
      <c r="M129" s="285">
        <v>28245.1</v>
      </c>
      <c r="N129" s="285">
        <f>M129*0.15</f>
        <v>4236.7649999999994</v>
      </c>
      <c r="O129" s="289" t="s">
        <v>72</v>
      </c>
      <c r="P129" s="285">
        <f>N129*0.6</f>
        <v>2542.0589999999997</v>
      </c>
      <c r="Q129" s="282" t="s">
        <v>340</v>
      </c>
      <c r="R129" s="285">
        <f>N129*0.4</f>
        <v>1694.7059999999999</v>
      </c>
      <c r="S129" s="305" t="s">
        <v>27</v>
      </c>
      <c r="T129" s="305" t="s">
        <v>27</v>
      </c>
      <c r="U129" s="283"/>
      <c r="V129" s="283"/>
      <c r="W129" s="289" t="s">
        <v>223</v>
      </c>
      <c r="X129" s="283"/>
    </row>
    <row r="130" spans="1:24" s="176" customFormat="1" ht="34.35" customHeight="1" x14ac:dyDescent="0.3">
      <c r="A130" s="276" t="s">
        <v>1107</v>
      </c>
      <c r="B130" s="276" t="s">
        <v>1108</v>
      </c>
      <c r="C130" s="276" t="s">
        <v>1109</v>
      </c>
      <c r="D130" s="276"/>
      <c r="E130" s="277" t="s">
        <v>1110</v>
      </c>
      <c r="F130" s="276" t="s">
        <v>1111</v>
      </c>
      <c r="G130" s="291">
        <v>45545</v>
      </c>
      <c r="H130" s="276" t="s">
        <v>994</v>
      </c>
      <c r="I130" s="35" t="s">
        <v>1112</v>
      </c>
      <c r="J130" s="335" t="s">
        <v>24</v>
      </c>
      <c r="K130" s="280"/>
      <c r="L130" s="276" t="s">
        <v>142</v>
      </c>
      <c r="M130" s="281">
        <v>70000</v>
      </c>
      <c r="N130" s="281">
        <v>14156.46</v>
      </c>
      <c r="O130" s="280" t="s">
        <v>26</v>
      </c>
      <c r="P130" s="281">
        <v>0</v>
      </c>
      <c r="Q130" s="281"/>
      <c r="R130" s="281">
        <f>N130</f>
        <v>14156.46</v>
      </c>
      <c r="S130" s="305" t="s">
        <v>27</v>
      </c>
      <c r="T130" s="305" t="s">
        <v>27</v>
      </c>
      <c r="U130" s="276"/>
      <c r="V130" s="276"/>
      <c r="W130" s="280" t="s">
        <v>223</v>
      </c>
      <c r="X130" s="276"/>
    </row>
    <row r="131" spans="1:24" ht="34.35" customHeight="1" x14ac:dyDescent="0.3">
      <c r="A131" s="276" t="s">
        <v>1113</v>
      </c>
      <c r="B131" s="276" t="s">
        <v>1114</v>
      </c>
      <c r="C131" s="283" t="s">
        <v>1115</v>
      </c>
      <c r="D131" s="283"/>
      <c r="E131" s="286" t="s">
        <v>1116</v>
      </c>
      <c r="F131" s="283" t="s">
        <v>1117</v>
      </c>
      <c r="G131" s="290">
        <v>45504</v>
      </c>
      <c r="H131" s="306" t="s">
        <v>144</v>
      </c>
      <c r="I131" s="35" t="s">
        <v>57</v>
      </c>
      <c r="J131" s="41" t="s">
        <v>46</v>
      </c>
      <c r="K131" s="283"/>
      <c r="L131" s="283" t="s">
        <v>25</v>
      </c>
      <c r="M131" s="285">
        <v>706259.08</v>
      </c>
      <c r="N131" s="285">
        <f>M131*0.15</f>
        <v>105938.86199999999</v>
      </c>
      <c r="O131" s="283" t="s">
        <v>72</v>
      </c>
      <c r="P131" s="285">
        <f>N131*0.6</f>
        <v>63563.31719999999</v>
      </c>
      <c r="Q131" s="305" t="s">
        <v>27</v>
      </c>
      <c r="R131" s="285">
        <f>N131*0.4</f>
        <v>42375.544800000003</v>
      </c>
      <c r="S131" s="293" t="s">
        <v>27</v>
      </c>
      <c r="T131" s="293" t="s">
        <v>27</v>
      </c>
      <c r="U131" s="283"/>
      <c r="V131" s="283"/>
      <c r="W131" s="283" t="s">
        <v>73</v>
      </c>
      <c r="X131" s="283"/>
    </row>
    <row r="132" spans="1:24" s="176" customFormat="1" ht="34.35" customHeight="1" x14ac:dyDescent="0.3">
      <c r="A132" s="276" t="s">
        <v>1118</v>
      </c>
      <c r="B132" s="276" t="s">
        <v>1119</v>
      </c>
      <c r="C132" s="303" t="s">
        <v>1120</v>
      </c>
      <c r="D132" s="303"/>
      <c r="E132" s="286" t="s">
        <v>1121</v>
      </c>
      <c r="F132" s="276" t="s">
        <v>1122</v>
      </c>
      <c r="G132" s="291">
        <v>45495</v>
      </c>
      <c r="H132" s="276" t="s">
        <v>144</v>
      </c>
      <c r="I132" s="35" t="s">
        <v>213</v>
      </c>
      <c r="J132" s="35" t="s">
        <v>24</v>
      </c>
      <c r="K132" s="276"/>
      <c r="L132" s="276" t="s">
        <v>47</v>
      </c>
      <c r="M132" s="281">
        <v>119500</v>
      </c>
      <c r="N132" s="281">
        <f>M132*0.15</f>
        <v>17925</v>
      </c>
      <c r="O132" s="276" t="s">
        <v>26</v>
      </c>
      <c r="P132" s="281">
        <v>0</v>
      </c>
      <c r="Q132" s="281"/>
      <c r="R132" s="281">
        <f>N132</f>
        <v>17925</v>
      </c>
      <c r="S132" s="276" t="s">
        <v>27</v>
      </c>
      <c r="T132" s="276" t="s">
        <v>27</v>
      </c>
      <c r="U132" s="276"/>
      <c r="V132" s="276"/>
      <c r="W132" s="276" t="s">
        <v>73</v>
      </c>
      <c r="X132" s="276"/>
    </row>
    <row r="133" spans="1:24" s="176" customFormat="1" ht="34.35" customHeight="1" x14ac:dyDescent="0.3">
      <c r="A133" s="276" t="s">
        <v>1123</v>
      </c>
      <c r="B133" s="276" t="s">
        <v>1124</v>
      </c>
      <c r="C133" s="276" t="s">
        <v>1125</v>
      </c>
      <c r="D133" s="276"/>
      <c r="E133" s="277"/>
      <c r="F133" s="276"/>
      <c r="G133" s="291"/>
      <c r="H133" s="276"/>
      <c r="I133" s="35" t="s">
        <v>1091</v>
      </c>
      <c r="J133" s="35" t="s">
        <v>24</v>
      </c>
      <c r="K133" s="276"/>
      <c r="L133" s="276" t="s">
        <v>472</v>
      </c>
      <c r="M133" s="281">
        <v>43912.22</v>
      </c>
      <c r="N133" s="281">
        <f>M133*0.2736838</f>
        <v>12018.063236036</v>
      </c>
      <c r="O133" s="276" t="s">
        <v>26</v>
      </c>
      <c r="P133" s="281">
        <v>0</v>
      </c>
      <c r="Q133" s="281"/>
      <c r="R133" s="281">
        <f>N133</f>
        <v>12018.063236036</v>
      </c>
      <c r="S133" s="276" t="s">
        <v>27</v>
      </c>
      <c r="T133" s="276" t="s">
        <v>27</v>
      </c>
      <c r="U133" s="276"/>
      <c r="V133" s="276"/>
      <c r="W133" s="276" t="s">
        <v>73</v>
      </c>
      <c r="X133" s="276"/>
    </row>
    <row r="134" spans="1:24" ht="28.35" customHeight="1" x14ac:dyDescent="0.3">
      <c r="A134" s="283" t="s">
        <v>878</v>
      </c>
      <c r="B134" s="283" t="s">
        <v>1126</v>
      </c>
      <c r="C134" s="284" t="s">
        <v>1127</v>
      </c>
      <c r="D134" s="284"/>
      <c r="E134" s="284" t="s">
        <v>881</v>
      </c>
      <c r="F134" s="287" t="s">
        <v>882</v>
      </c>
      <c r="G134" s="288" t="s">
        <v>882</v>
      </c>
      <c r="H134" s="287" t="s">
        <v>144</v>
      </c>
      <c r="I134" s="41" t="s">
        <v>145</v>
      </c>
      <c r="J134" s="41" t="s">
        <v>883</v>
      </c>
      <c r="K134" s="283"/>
      <c r="L134" s="283" t="s">
        <v>884</v>
      </c>
      <c r="M134" s="285">
        <v>0</v>
      </c>
      <c r="N134" s="285">
        <v>82560</v>
      </c>
      <c r="O134" s="283" t="s">
        <v>1128</v>
      </c>
      <c r="P134" s="285">
        <v>82560</v>
      </c>
      <c r="Q134" s="293" t="s">
        <v>27</v>
      </c>
      <c r="R134" s="285">
        <v>0</v>
      </c>
      <c r="S134" s="293" t="s">
        <v>27</v>
      </c>
      <c r="T134" s="293" t="s">
        <v>27</v>
      </c>
      <c r="U134" s="283"/>
      <c r="V134" s="283"/>
      <c r="W134" s="283" t="s">
        <v>28</v>
      </c>
      <c r="X134" s="283"/>
    </row>
    <row r="135" spans="1:24" s="176" customFormat="1" ht="28.35" customHeight="1" x14ac:dyDescent="0.3">
      <c r="A135" s="276" t="s">
        <v>786</v>
      </c>
      <c r="B135" s="276" t="s">
        <v>1129</v>
      </c>
      <c r="C135" s="277" t="s">
        <v>1130</v>
      </c>
      <c r="D135" s="277"/>
      <c r="E135" s="277"/>
      <c r="F135" s="278"/>
      <c r="G135" s="279"/>
      <c r="H135" s="278"/>
      <c r="I135" s="35" t="s">
        <v>57</v>
      </c>
      <c r="J135" s="35" t="s">
        <v>78</v>
      </c>
      <c r="K135" s="276"/>
      <c r="L135" s="276" t="s">
        <v>47</v>
      </c>
      <c r="M135" s="281">
        <v>0</v>
      </c>
      <c r="N135" s="281">
        <v>0</v>
      </c>
      <c r="O135" s="276" t="s">
        <v>79</v>
      </c>
      <c r="P135" s="281">
        <v>0</v>
      </c>
      <c r="Q135" s="276"/>
      <c r="R135" s="281">
        <v>0</v>
      </c>
      <c r="S135" s="276" t="s">
        <v>761</v>
      </c>
      <c r="T135" s="276" t="s">
        <v>761</v>
      </c>
      <c r="U135" s="276"/>
      <c r="V135" s="276"/>
      <c r="W135" s="276"/>
      <c r="X135" s="276"/>
    </row>
    <row r="136" spans="1:24" s="176" customFormat="1" ht="28.35" customHeight="1" x14ac:dyDescent="0.3">
      <c r="A136" s="276" t="s">
        <v>786</v>
      </c>
      <c r="B136" s="276" t="s">
        <v>1129</v>
      </c>
      <c r="C136" s="277" t="s">
        <v>1131</v>
      </c>
      <c r="D136" s="277"/>
      <c r="E136" s="277"/>
      <c r="F136" s="278"/>
      <c r="G136" s="279"/>
      <c r="H136" s="278"/>
      <c r="I136" s="35" t="s">
        <v>213</v>
      </c>
      <c r="J136" s="35" t="s">
        <v>78</v>
      </c>
      <c r="K136" s="276"/>
      <c r="L136" s="276" t="s">
        <v>47</v>
      </c>
      <c r="M136" s="281">
        <v>0</v>
      </c>
      <c r="N136" s="281">
        <v>0</v>
      </c>
      <c r="O136" s="276" t="s">
        <v>26</v>
      </c>
      <c r="P136" s="281">
        <v>0</v>
      </c>
      <c r="Q136" s="276"/>
      <c r="R136" s="281">
        <v>0</v>
      </c>
      <c r="S136" s="276" t="s">
        <v>761</v>
      </c>
      <c r="T136" s="276" t="s">
        <v>761</v>
      </c>
      <c r="U136" s="276"/>
      <c r="V136" s="276"/>
      <c r="W136" s="276"/>
      <c r="X136" s="276"/>
    </row>
    <row r="137" spans="1:24" s="261" customFormat="1" ht="28.35" customHeight="1" x14ac:dyDescent="0.3">
      <c r="A137" s="299" t="s">
        <v>515</v>
      </c>
      <c r="B137" s="299" t="s">
        <v>1079</v>
      </c>
      <c r="C137" s="299"/>
      <c r="D137" s="299"/>
      <c r="E137" s="286"/>
      <c r="F137" s="299"/>
      <c r="G137" s="39"/>
      <c r="H137" s="39"/>
      <c r="I137" s="334" t="s">
        <v>57</v>
      </c>
      <c r="J137" s="334" t="s">
        <v>118</v>
      </c>
      <c r="K137" s="230" t="s">
        <v>417</v>
      </c>
      <c r="L137" s="299" t="s">
        <v>47</v>
      </c>
      <c r="M137" s="302">
        <v>0</v>
      </c>
      <c r="N137" s="302">
        <v>0</v>
      </c>
      <c r="O137" s="299" t="s">
        <v>79</v>
      </c>
      <c r="P137" s="302">
        <v>0</v>
      </c>
      <c r="Q137" s="299"/>
      <c r="R137" s="302">
        <v>0</v>
      </c>
      <c r="S137" s="299" t="s">
        <v>761</v>
      </c>
      <c r="T137" s="299" t="s">
        <v>761</v>
      </c>
      <c r="U137" s="299"/>
      <c r="V137" s="299"/>
      <c r="W137" s="299"/>
      <c r="X137" s="299"/>
    </row>
    <row r="138" spans="1:24" s="261" customFormat="1" ht="28.35" customHeight="1" x14ac:dyDescent="0.3">
      <c r="A138" s="299" t="s">
        <v>515</v>
      </c>
      <c r="B138" s="299" t="s">
        <v>1079</v>
      </c>
      <c r="C138" s="299"/>
      <c r="D138" s="299"/>
      <c r="E138" s="286"/>
      <c r="F138" s="299"/>
      <c r="G138" s="39"/>
      <c r="H138" s="39"/>
      <c r="I138" s="334" t="s">
        <v>213</v>
      </c>
      <c r="J138" s="334" t="s">
        <v>118</v>
      </c>
      <c r="K138" s="230" t="s">
        <v>417</v>
      </c>
      <c r="L138" s="299" t="s">
        <v>47</v>
      </c>
      <c r="M138" s="302">
        <v>0</v>
      </c>
      <c r="N138" s="302">
        <v>0</v>
      </c>
      <c r="O138" s="299" t="s">
        <v>26</v>
      </c>
      <c r="P138" s="302">
        <v>0</v>
      </c>
      <c r="Q138" s="299"/>
      <c r="R138" s="302">
        <v>0</v>
      </c>
      <c r="S138" s="299" t="s">
        <v>761</v>
      </c>
      <c r="T138" s="299" t="s">
        <v>761</v>
      </c>
      <c r="U138" s="299"/>
      <c r="V138" s="299"/>
      <c r="W138" s="299"/>
      <c r="X138" s="299"/>
    </row>
    <row r="139" spans="1:24" s="176" customFormat="1" ht="28.35" customHeight="1" x14ac:dyDescent="0.3">
      <c r="A139" s="276" t="s">
        <v>1134</v>
      </c>
      <c r="B139" s="276" t="s">
        <v>1135</v>
      </c>
      <c r="C139" s="277" t="s">
        <v>1136</v>
      </c>
      <c r="D139" s="277"/>
      <c r="E139" s="292" t="s">
        <v>1137</v>
      </c>
      <c r="F139" s="307" t="s">
        <v>1138</v>
      </c>
      <c r="G139" s="279">
        <v>45546</v>
      </c>
      <c r="H139" s="278" t="s">
        <v>994</v>
      </c>
      <c r="I139" s="35" t="s">
        <v>57</v>
      </c>
      <c r="J139" s="35" t="s">
        <v>46</v>
      </c>
      <c r="K139" s="276"/>
      <c r="L139" s="276" t="s">
        <v>25</v>
      </c>
      <c r="M139" s="281">
        <v>1322479.6100000001</v>
      </c>
      <c r="N139" s="281">
        <f>M139*0.15</f>
        <v>198371.94150000002</v>
      </c>
      <c r="O139" s="276" t="s">
        <v>72</v>
      </c>
      <c r="P139" s="281">
        <f>N139*0.6</f>
        <v>119023.1649</v>
      </c>
      <c r="Q139" s="276" t="s">
        <v>27</v>
      </c>
      <c r="R139" s="281">
        <f>N139*0.4</f>
        <v>79348.776600000012</v>
      </c>
      <c r="S139" s="276" t="s">
        <v>27</v>
      </c>
      <c r="T139" s="276" t="s">
        <v>27</v>
      </c>
      <c r="U139" s="276"/>
      <c r="V139" s="276"/>
      <c r="W139" s="276" t="s">
        <v>209</v>
      </c>
      <c r="X139" s="276"/>
    </row>
    <row r="140" spans="1:24" s="176" customFormat="1" ht="28.35" customHeight="1" x14ac:dyDescent="0.3">
      <c r="A140" s="276" t="s">
        <v>1134</v>
      </c>
      <c r="B140" s="276" t="s">
        <v>1135</v>
      </c>
      <c r="C140" s="309" t="s">
        <v>1067</v>
      </c>
      <c r="D140" s="309"/>
      <c r="E140" s="284" t="s">
        <v>1139</v>
      </c>
      <c r="F140" s="278" t="s">
        <v>1140</v>
      </c>
      <c r="G140" s="279">
        <v>45555</v>
      </c>
      <c r="H140" s="278" t="s">
        <v>994</v>
      </c>
      <c r="I140" s="35" t="s">
        <v>906</v>
      </c>
      <c r="J140" s="35" t="s">
        <v>46</v>
      </c>
      <c r="K140" s="276"/>
      <c r="L140" s="276" t="s">
        <v>25</v>
      </c>
      <c r="M140" s="281">
        <v>58696.27</v>
      </c>
      <c r="N140" s="281">
        <f>M140*0.18</f>
        <v>10565.328599999999</v>
      </c>
      <c r="O140" s="276" t="s">
        <v>72</v>
      </c>
      <c r="P140" s="281">
        <f>N140*0.6</f>
        <v>6339.1971599999988</v>
      </c>
      <c r="Q140" s="276" t="s">
        <v>27</v>
      </c>
      <c r="R140" s="281">
        <f>N140*0.4</f>
        <v>4226.1314400000001</v>
      </c>
      <c r="S140" s="276" t="s">
        <v>27</v>
      </c>
      <c r="T140" s="276" t="s">
        <v>27</v>
      </c>
      <c r="U140" s="276"/>
      <c r="V140" s="276"/>
      <c r="W140" s="276" t="s">
        <v>209</v>
      </c>
      <c r="X140" s="276"/>
    </row>
    <row r="141" spans="1:24" s="176" customFormat="1" ht="28.35" customHeight="1" x14ac:dyDescent="0.3">
      <c r="A141" s="276" t="s">
        <v>1134</v>
      </c>
      <c r="B141" s="276" t="s">
        <v>1135</v>
      </c>
      <c r="C141" s="303" t="s">
        <v>1141</v>
      </c>
      <c r="D141" s="303"/>
      <c r="E141" s="284" t="s">
        <v>1142</v>
      </c>
      <c r="F141" s="278" t="s">
        <v>1143</v>
      </c>
      <c r="G141" s="279">
        <v>45595</v>
      </c>
      <c r="H141" s="278" t="s">
        <v>209</v>
      </c>
      <c r="I141" s="35" t="s">
        <v>1144</v>
      </c>
      <c r="J141" s="35" t="s">
        <v>46</v>
      </c>
      <c r="K141" s="276"/>
      <c r="L141" s="276" t="s">
        <v>25</v>
      </c>
      <c r="M141" s="281">
        <v>103921.73</v>
      </c>
      <c r="N141" s="281">
        <f>M141*0.18</f>
        <v>18705.911399999997</v>
      </c>
      <c r="O141" s="276" t="s">
        <v>72</v>
      </c>
      <c r="P141" s="281">
        <f>N141*0.6</f>
        <v>11223.546839999997</v>
      </c>
      <c r="Q141" s="276" t="s">
        <v>27</v>
      </c>
      <c r="R141" s="281">
        <f>N141*0.4</f>
        <v>7482.3645599999991</v>
      </c>
      <c r="S141" s="276" t="s">
        <v>27</v>
      </c>
      <c r="T141" s="276" t="s">
        <v>27</v>
      </c>
      <c r="U141" s="276"/>
      <c r="V141" s="276"/>
      <c r="W141" s="276" t="s">
        <v>217</v>
      </c>
      <c r="X141" s="276"/>
    </row>
    <row r="142" spans="1:24" s="176" customFormat="1" ht="28.35" customHeight="1" x14ac:dyDescent="0.3">
      <c r="A142" s="276" t="s">
        <v>1145</v>
      </c>
      <c r="B142" s="276" t="s">
        <v>1146</v>
      </c>
      <c r="C142" s="308" t="s">
        <v>1147</v>
      </c>
      <c r="D142" s="308"/>
      <c r="E142" s="309" t="s">
        <v>1148</v>
      </c>
      <c r="F142" s="278" t="s">
        <v>1149</v>
      </c>
      <c r="G142" s="279">
        <v>45645</v>
      </c>
      <c r="H142" s="278" t="s">
        <v>223</v>
      </c>
      <c r="I142" s="35" t="s">
        <v>57</v>
      </c>
      <c r="J142" s="35" t="s">
        <v>1150</v>
      </c>
      <c r="K142" s="276"/>
      <c r="L142" s="276" t="s">
        <v>47</v>
      </c>
      <c r="M142" s="281">
        <v>126116.5</v>
      </c>
      <c r="N142" s="281">
        <f>M142*0.15</f>
        <v>18917.474999999999</v>
      </c>
      <c r="O142" s="276" t="s">
        <v>26</v>
      </c>
      <c r="P142" s="281">
        <v>0</v>
      </c>
      <c r="Q142" s="276"/>
      <c r="R142" s="281">
        <f>N142</f>
        <v>18917.474999999999</v>
      </c>
      <c r="S142" s="276" t="s">
        <v>761</v>
      </c>
      <c r="T142" s="276" t="s">
        <v>761</v>
      </c>
      <c r="U142" s="276"/>
      <c r="V142" s="276"/>
      <c r="W142" s="276"/>
      <c r="X142" s="276"/>
    </row>
    <row r="143" spans="1:24" s="261" customFormat="1" ht="28.35" customHeight="1" x14ac:dyDescent="0.3">
      <c r="A143" s="299" t="s">
        <v>507</v>
      </c>
      <c r="B143" s="299" t="s">
        <v>1132</v>
      </c>
      <c r="C143" s="286" t="s">
        <v>1133</v>
      </c>
      <c r="D143" s="286"/>
      <c r="E143" s="286"/>
      <c r="F143" s="329"/>
      <c r="G143" s="323"/>
      <c r="H143" s="322"/>
      <c r="I143" s="334" t="s">
        <v>57</v>
      </c>
      <c r="J143" s="334" t="s">
        <v>118</v>
      </c>
      <c r="K143" s="230" t="s">
        <v>417</v>
      </c>
      <c r="L143" s="299" t="s">
        <v>47</v>
      </c>
      <c r="M143" s="302">
        <v>0</v>
      </c>
      <c r="N143" s="302">
        <v>0</v>
      </c>
      <c r="O143" s="299" t="s">
        <v>79</v>
      </c>
      <c r="P143" s="302">
        <v>0</v>
      </c>
      <c r="Q143" s="299"/>
      <c r="R143" s="302">
        <v>0</v>
      </c>
      <c r="S143" s="299" t="s">
        <v>761</v>
      </c>
      <c r="T143" s="299" t="s">
        <v>761</v>
      </c>
      <c r="U143" s="299"/>
      <c r="V143" s="299"/>
      <c r="W143" s="299"/>
      <c r="X143" s="299"/>
    </row>
    <row r="144" spans="1:24" s="261" customFormat="1" ht="28.35" customHeight="1" x14ac:dyDescent="0.3">
      <c r="A144" s="299" t="s">
        <v>507</v>
      </c>
      <c r="B144" s="299" t="s">
        <v>1132</v>
      </c>
      <c r="C144" s="286" t="s">
        <v>1133</v>
      </c>
      <c r="D144" s="286"/>
      <c r="E144" s="286"/>
      <c r="F144" s="329"/>
      <c r="G144" s="323"/>
      <c r="H144" s="322"/>
      <c r="I144" s="334" t="s">
        <v>213</v>
      </c>
      <c r="J144" s="334" t="s">
        <v>118</v>
      </c>
      <c r="K144" s="230" t="s">
        <v>417</v>
      </c>
      <c r="L144" s="299" t="s">
        <v>47</v>
      </c>
      <c r="M144" s="302">
        <v>0</v>
      </c>
      <c r="N144" s="302">
        <v>0</v>
      </c>
      <c r="O144" s="299" t="s">
        <v>26</v>
      </c>
      <c r="P144" s="302">
        <v>0</v>
      </c>
      <c r="Q144" s="299"/>
      <c r="R144" s="302">
        <v>0</v>
      </c>
      <c r="S144" s="299" t="s">
        <v>761</v>
      </c>
      <c r="T144" s="299" t="s">
        <v>761</v>
      </c>
      <c r="U144" s="299"/>
      <c r="V144" s="299"/>
      <c r="W144" s="299"/>
      <c r="X144" s="299"/>
    </row>
    <row r="145" spans="1:24" s="176" customFormat="1" ht="28.35" customHeight="1" x14ac:dyDescent="0.3">
      <c r="A145" s="276" t="s">
        <v>1102</v>
      </c>
      <c r="B145" s="276" t="s">
        <v>1152</v>
      </c>
      <c r="C145" s="303" t="s">
        <v>1153</v>
      </c>
      <c r="D145" s="303"/>
      <c r="E145" s="277"/>
      <c r="F145" s="278"/>
      <c r="G145" s="279"/>
      <c r="H145" s="278"/>
      <c r="I145" s="35" t="s">
        <v>213</v>
      </c>
      <c r="J145" s="35" t="s">
        <v>35</v>
      </c>
      <c r="K145" s="276"/>
      <c r="L145" s="276" t="s">
        <v>315</v>
      </c>
      <c r="M145" s="281">
        <v>45154.8</v>
      </c>
      <c r="N145" s="281">
        <f>M145*0.12</f>
        <v>5418.576</v>
      </c>
      <c r="O145" s="276" t="s">
        <v>72</v>
      </c>
      <c r="P145" s="281">
        <f>N145*0.5</f>
        <v>2709.288</v>
      </c>
      <c r="Q145" s="276" t="s">
        <v>27</v>
      </c>
      <c r="R145" s="281">
        <f>N145*0.5</f>
        <v>2709.288</v>
      </c>
      <c r="S145" s="276" t="s">
        <v>27</v>
      </c>
      <c r="T145" s="276" t="s">
        <v>27</v>
      </c>
      <c r="U145" s="276"/>
      <c r="V145" s="276"/>
      <c r="W145" s="276" t="s">
        <v>209</v>
      </c>
      <c r="X145" s="276"/>
    </row>
    <row r="146" spans="1:24" s="176" customFormat="1" ht="28.35" customHeight="1" x14ac:dyDescent="0.3">
      <c r="A146" s="276" t="s">
        <v>1154</v>
      </c>
      <c r="B146" s="276" t="s">
        <v>1155</v>
      </c>
      <c r="C146" s="277" t="s">
        <v>1156</v>
      </c>
      <c r="D146" s="277"/>
      <c r="E146" s="277"/>
      <c r="F146" s="278"/>
      <c r="G146" s="279"/>
      <c r="H146" s="278"/>
      <c r="I146" s="35" t="s">
        <v>213</v>
      </c>
      <c r="J146" s="35" t="s">
        <v>35</v>
      </c>
      <c r="K146" s="276"/>
      <c r="L146" s="276" t="s">
        <v>315</v>
      </c>
      <c r="M146" s="281">
        <v>30794.3</v>
      </c>
      <c r="N146" s="281">
        <f>M146*0.134997</f>
        <v>4157.1381171000003</v>
      </c>
      <c r="O146" s="280" t="s">
        <v>72</v>
      </c>
      <c r="P146" s="281">
        <f>N146*0.6</f>
        <v>2494.28287026</v>
      </c>
      <c r="Q146" s="276" t="s">
        <v>27</v>
      </c>
      <c r="R146" s="281">
        <f>N146*0.4</f>
        <v>1662.8552468400003</v>
      </c>
      <c r="S146" s="294" t="s">
        <v>27</v>
      </c>
      <c r="T146" s="294" t="s">
        <v>27</v>
      </c>
      <c r="U146" s="276"/>
      <c r="V146" s="276"/>
      <c r="W146" s="280" t="s">
        <v>223</v>
      </c>
      <c r="X146" s="276"/>
    </row>
    <row r="147" spans="1:24" ht="24" customHeight="1" x14ac:dyDescent="0.3">
      <c r="A147" s="276" t="s">
        <v>1157</v>
      </c>
      <c r="B147" s="276" t="s">
        <v>1158</v>
      </c>
      <c r="C147" s="277" t="s">
        <v>1159</v>
      </c>
      <c r="D147" s="277"/>
      <c r="E147" s="292" t="s">
        <v>1160</v>
      </c>
      <c r="F147" s="278" t="s">
        <v>1161</v>
      </c>
      <c r="G147" s="279">
        <v>45495</v>
      </c>
      <c r="H147" s="278" t="s">
        <v>144</v>
      </c>
      <c r="I147" s="35" t="s">
        <v>57</v>
      </c>
      <c r="J147" s="35" t="s">
        <v>24</v>
      </c>
      <c r="K147" s="276"/>
      <c r="L147" s="276" t="s">
        <v>25</v>
      </c>
      <c r="M147" s="281">
        <v>19766.009999999998</v>
      </c>
      <c r="N147" s="281">
        <f>M147*0.15</f>
        <v>2964.9014999999995</v>
      </c>
      <c r="O147" s="276" t="s">
        <v>26</v>
      </c>
      <c r="P147" s="281">
        <v>0</v>
      </c>
      <c r="Q147" s="281"/>
      <c r="R147" s="281">
        <f>N147</f>
        <v>2964.9014999999995</v>
      </c>
      <c r="S147" s="276" t="s">
        <v>27</v>
      </c>
      <c r="T147" s="276" t="s">
        <v>27</v>
      </c>
      <c r="U147" s="276"/>
      <c r="V147" s="276"/>
      <c r="W147" s="276" t="s">
        <v>170</v>
      </c>
      <c r="X147" s="276"/>
    </row>
    <row r="148" spans="1:24" ht="24" customHeight="1" x14ac:dyDescent="0.3">
      <c r="A148" s="283" t="s">
        <v>878</v>
      </c>
      <c r="B148" s="283" t="s">
        <v>1162</v>
      </c>
      <c r="C148" s="310" t="s">
        <v>1163</v>
      </c>
      <c r="D148" s="310"/>
      <c r="E148" s="284"/>
      <c r="F148" s="287"/>
      <c r="G148" s="288"/>
      <c r="H148" s="287"/>
      <c r="I148" s="41" t="s">
        <v>145</v>
      </c>
      <c r="J148" s="41" t="s">
        <v>883</v>
      </c>
      <c r="K148" s="283"/>
      <c r="L148" s="283" t="s">
        <v>884</v>
      </c>
      <c r="M148" s="285">
        <v>0</v>
      </c>
      <c r="N148" s="285">
        <v>369004.79</v>
      </c>
      <c r="O148" s="283" t="s">
        <v>885</v>
      </c>
      <c r="P148" s="285">
        <v>188555.97</v>
      </c>
      <c r="Q148" s="293" t="s">
        <v>27</v>
      </c>
      <c r="R148" s="285">
        <f>N148-P148</f>
        <v>180448.81999999998</v>
      </c>
      <c r="S148" s="293" t="s">
        <v>27</v>
      </c>
      <c r="T148" s="293" t="s">
        <v>27</v>
      </c>
      <c r="U148" s="283"/>
      <c r="V148" s="283"/>
      <c r="W148" s="283" t="s">
        <v>170</v>
      </c>
      <c r="X148" s="283"/>
    </row>
    <row r="149" spans="1:24" s="176" customFormat="1" ht="28.35" customHeight="1" x14ac:dyDescent="0.3">
      <c r="A149" s="283" t="s">
        <v>878</v>
      </c>
      <c r="B149" s="283" t="s">
        <v>1164</v>
      </c>
      <c r="C149" s="310" t="s">
        <v>1165</v>
      </c>
      <c r="D149" s="310"/>
      <c r="E149" s="284"/>
      <c r="F149" s="287"/>
      <c r="G149" s="288"/>
      <c r="H149" s="287"/>
      <c r="I149" s="41" t="s">
        <v>145</v>
      </c>
      <c r="J149" s="41" t="s">
        <v>883</v>
      </c>
      <c r="K149" s="283"/>
      <c r="L149" s="283" t="s">
        <v>884</v>
      </c>
      <c r="M149" s="285">
        <v>0</v>
      </c>
      <c r="N149" s="285">
        <v>77335.210000000006</v>
      </c>
      <c r="O149" s="283" t="s">
        <v>72</v>
      </c>
      <c r="P149" s="285">
        <v>77335.210000000006</v>
      </c>
      <c r="Q149" s="293" t="s">
        <v>27</v>
      </c>
      <c r="R149" s="285">
        <v>0</v>
      </c>
      <c r="S149" s="293" t="s">
        <v>27</v>
      </c>
      <c r="T149" s="293" t="s">
        <v>27</v>
      </c>
      <c r="U149" s="283"/>
      <c r="V149" s="283"/>
      <c r="W149" s="283" t="s">
        <v>170</v>
      </c>
      <c r="X149" s="283"/>
    </row>
    <row r="150" spans="1:24" s="261" customFormat="1" ht="28.35" customHeight="1" x14ac:dyDescent="0.3">
      <c r="A150" s="299" t="s">
        <v>742</v>
      </c>
      <c r="B150" s="299" t="s">
        <v>1151</v>
      </c>
      <c r="C150" s="286"/>
      <c r="D150" s="286"/>
      <c r="E150" s="286"/>
      <c r="F150" s="329"/>
      <c r="G150" s="323"/>
      <c r="H150" s="322"/>
      <c r="I150" s="334" t="s">
        <v>57</v>
      </c>
      <c r="J150" s="334" t="s">
        <v>118</v>
      </c>
      <c r="K150" s="230" t="s">
        <v>417</v>
      </c>
      <c r="L150" s="299" t="s">
        <v>47</v>
      </c>
      <c r="M150" s="302">
        <v>0</v>
      </c>
      <c r="N150" s="302">
        <v>0</v>
      </c>
      <c r="O150" s="299" t="s">
        <v>79</v>
      </c>
      <c r="P150" s="302">
        <v>0</v>
      </c>
      <c r="Q150" s="299"/>
      <c r="R150" s="302">
        <v>0</v>
      </c>
      <c r="S150" s="299" t="s">
        <v>761</v>
      </c>
      <c r="T150" s="299" t="s">
        <v>761</v>
      </c>
      <c r="U150" s="299"/>
      <c r="V150" s="299"/>
      <c r="W150" s="299"/>
      <c r="X150" s="299"/>
    </row>
    <row r="151" spans="1:24" s="261" customFormat="1" ht="34.35" customHeight="1" x14ac:dyDescent="0.3">
      <c r="A151" s="299" t="s">
        <v>742</v>
      </c>
      <c r="B151" s="299" t="s">
        <v>1151</v>
      </c>
      <c r="C151" s="286"/>
      <c r="D151" s="286"/>
      <c r="E151" s="286"/>
      <c r="F151" s="329"/>
      <c r="G151" s="323"/>
      <c r="H151" s="322"/>
      <c r="I151" s="334" t="s">
        <v>213</v>
      </c>
      <c r="J151" s="334" t="s">
        <v>118</v>
      </c>
      <c r="K151" s="230" t="s">
        <v>417</v>
      </c>
      <c r="L151" s="299" t="s">
        <v>47</v>
      </c>
      <c r="M151" s="302">
        <v>0</v>
      </c>
      <c r="N151" s="302">
        <v>0</v>
      </c>
      <c r="O151" s="299" t="s">
        <v>26</v>
      </c>
      <c r="P151" s="302">
        <v>0</v>
      </c>
      <c r="Q151" s="299"/>
      <c r="R151" s="302">
        <v>0</v>
      </c>
      <c r="S151" s="299" t="s">
        <v>761</v>
      </c>
      <c r="T151" s="299" t="s">
        <v>761</v>
      </c>
      <c r="U151" s="299"/>
      <c r="V151" s="299"/>
      <c r="W151" s="299"/>
      <c r="X151" s="299"/>
    </row>
    <row r="152" spans="1:24" s="261" customFormat="1" ht="34.35" customHeight="1" x14ac:dyDescent="0.3">
      <c r="A152" s="276" t="s">
        <v>1176</v>
      </c>
      <c r="B152" s="276" t="s">
        <v>1177</v>
      </c>
      <c r="C152" s="276" t="s">
        <v>1178</v>
      </c>
      <c r="D152" s="276"/>
      <c r="E152" s="292" t="s">
        <v>1179</v>
      </c>
      <c r="F152" s="278" t="s">
        <v>1180</v>
      </c>
      <c r="G152" s="279">
        <v>45593</v>
      </c>
      <c r="H152" s="278" t="s">
        <v>209</v>
      </c>
      <c r="I152" s="35" t="s">
        <v>57</v>
      </c>
      <c r="J152" s="35" t="s">
        <v>24</v>
      </c>
      <c r="K152" s="276"/>
      <c r="L152" s="276" t="s">
        <v>47</v>
      </c>
      <c r="M152" s="281">
        <v>1999447.77</v>
      </c>
      <c r="N152" s="281">
        <f>M152*0.15</f>
        <v>299917.1655</v>
      </c>
      <c r="O152" s="276" t="s">
        <v>26</v>
      </c>
      <c r="P152" s="281">
        <v>0</v>
      </c>
      <c r="Q152" s="281"/>
      <c r="R152" s="281">
        <f>N152</f>
        <v>299917.1655</v>
      </c>
      <c r="S152" s="294" t="s">
        <v>27</v>
      </c>
      <c r="T152" s="294" t="s">
        <v>27</v>
      </c>
      <c r="U152" s="276"/>
      <c r="V152" s="276"/>
      <c r="W152" s="280" t="s">
        <v>223</v>
      </c>
      <c r="X152" s="276"/>
    </row>
    <row r="153" spans="1:24" s="350" customFormat="1" ht="34.35" customHeight="1" x14ac:dyDescent="0.3">
      <c r="A153" s="341" t="s">
        <v>1176</v>
      </c>
      <c r="B153" s="341" t="s">
        <v>1181</v>
      </c>
      <c r="C153" s="341" t="s">
        <v>1182</v>
      </c>
      <c r="D153" s="341"/>
      <c r="E153" s="342"/>
      <c r="F153" s="343" t="s">
        <v>1183</v>
      </c>
      <c r="G153" s="344">
        <v>45635</v>
      </c>
      <c r="H153" s="343" t="s">
        <v>223</v>
      </c>
      <c r="I153" s="345" t="s">
        <v>213</v>
      </c>
      <c r="J153" s="345" t="s">
        <v>24</v>
      </c>
      <c r="K153" s="341"/>
      <c r="L153" s="341" t="s">
        <v>47</v>
      </c>
      <c r="M153" s="346">
        <v>772000</v>
      </c>
      <c r="N153" s="346">
        <f>M153*0.12</f>
        <v>92640</v>
      </c>
      <c r="O153" s="347" t="s">
        <v>26</v>
      </c>
      <c r="P153" s="348">
        <v>0</v>
      </c>
      <c r="Q153" s="348"/>
      <c r="R153" s="346">
        <f>N153</f>
        <v>92640</v>
      </c>
      <c r="S153" s="347" t="s">
        <v>27</v>
      </c>
      <c r="T153" s="347" t="s">
        <v>27</v>
      </c>
      <c r="U153" s="341"/>
      <c r="V153" s="341"/>
      <c r="W153" s="349" t="s">
        <v>223</v>
      </c>
      <c r="X153" s="341"/>
    </row>
    <row r="154" spans="1:24" s="176" customFormat="1" ht="34.35" customHeight="1" x14ac:dyDescent="0.3">
      <c r="A154" s="311" t="s">
        <v>1176</v>
      </c>
      <c r="B154" s="311" t="s">
        <v>1184</v>
      </c>
      <c r="C154" s="311" t="s">
        <v>1185</v>
      </c>
      <c r="D154" s="311"/>
      <c r="E154" s="276" t="s">
        <v>1186</v>
      </c>
      <c r="F154" s="278" t="s">
        <v>1187</v>
      </c>
      <c r="G154" s="279">
        <v>45601</v>
      </c>
      <c r="H154" s="278" t="s">
        <v>217</v>
      </c>
      <c r="I154" s="35" t="s">
        <v>213</v>
      </c>
      <c r="J154" s="35" t="s">
        <v>24</v>
      </c>
      <c r="K154" s="276"/>
      <c r="L154" s="276" t="s">
        <v>47</v>
      </c>
      <c r="M154" s="281">
        <v>90803.5</v>
      </c>
      <c r="N154" s="281">
        <f>M154*0.12</f>
        <v>10896.42</v>
      </c>
      <c r="O154" s="276" t="s">
        <v>26</v>
      </c>
      <c r="P154" s="281">
        <v>0</v>
      </c>
      <c r="Q154" s="281"/>
      <c r="R154" s="281">
        <f>N154</f>
        <v>10896.42</v>
      </c>
      <c r="S154" s="276" t="s">
        <v>27</v>
      </c>
      <c r="T154" s="276" t="s">
        <v>27</v>
      </c>
      <c r="U154" s="276"/>
      <c r="V154" s="281"/>
      <c r="W154" s="280" t="s">
        <v>223</v>
      </c>
      <c r="X154" s="281"/>
    </row>
    <row r="155" spans="1:24" s="176" customFormat="1" ht="34.35" customHeight="1" x14ac:dyDescent="0.3">
      <c r="A155" s="276" t="s">
        <v>1176</v>
      </c>
      <c r="B155" s="276" t="s">
        <v>1188</v>
      </c>
      <c r="C155" s="276" t="s">
        <v>1189</v>
      </c>
      <c r="D155" s="276"/>
      <c r="E155" s="278" t="s">
        <v>1190</v>
      </c>
      <c r="F155" s="278" t="s">
        <v>1191</v>
      </c>
      <c r="G155" s="279">
        <v>45558</v>
      </c>
      <c r="H155" s="278" t="s">
        <v>994</v>
      </c>
      <c r="I155" s="35" t="s">
        <v>213</v>
      </c>
      <c r="J155" s="35" t="s">
        <v>24</v>
      </c>
      <c r="K155" s="276"/>
      <c r="L155" s="276" t="s">
        <v>47</v>
      </c>
      <c r="M155" s="281">
        <v>200499.99</v>
      </c>
      <c r="N155" s="281">
        <f>M155*0.12</f>
        <v>24059.998799999998</v>
      </c>
      <c r="O155" s="276" t="s">
        <v>26</v>
      </c>
      <c r="P155" s="281">
        <v>0</v>
      </c>
      <c r="Q155" s="281"/>
      <c r="R155" s="281">
        <f>N155</f>
        <v>24059.998799999998</v>
      </c>
      <c r="S155" s="276" t="s">
        <v>27</v>
      </c>
      <c r="T155" s="276" t="s">
        <v>27</v>
      </c>
      <c r="U155" s="276"/>
      <c r="V155" s="281"/>
      <c r="W155" s="281" t="s">
        <v>209</v>
      </c>
      <c r="X155" s="281"/>
    </row>
    <row r="156" spans="1:24" s="176" customFormat="1" ht="34.35" customHeight="1" x14ac:dyDescent="0.3">
      <c r="A156" s="298" t="s">
        <v>1192</v>
      </c>
      <c r="B156" s="298" t="s">
        <v>1193</v>
      </c>
      <c r="C156" s="303" t="s">
        <v>1194</v>
      </c>
      <c r="D156" s="320"/>
      <c r="E156" s="312" t="s">
        <v>1195</v>
      </c>
      <c r="F156" s="278" t="s">
        <v>1196</v>
      </c>
      <c r="G156" s="279">
        <v>45607</v>
      </c>
      <c r="H156" s="278" t="s">
        <v>217</v>
      </c>
      <c r="I156" s="35" t="s">
        <v>57</v>
      </c>
      <c r="J156" s="35" t="s">
        <v>46</v>
      </c>
      <c r="K156" s="276"/>
      <c r="L156" s="276" t="s">
        <v>25</v>
      </c>
      <c r="M156" s="281">
        <v>36865.599999999999</v>
      </c>
      <c r="N156" s="281">
        <f t="shared" ref="N156:N164" si="0">M156*0.15</f>
        <v>5529.8399999999992</v>
      </c>
      <c r="O156" s="276" t="s">
        <v>72</v>
      </c>
      <c r="P156" s="281">
        <f>N156*0.6</f>
        <v>3317.9039999999995</v>
      </c>
      <c r="Q156" s="276" t="s">
        <v>27</v>
      </c>
      <c r="R156" s="281">
        <f>N156*0.4</f>
        <v>2211.9359999999997</v>
      </c>
      <c r="S156" s="276" t="s">
        <v>27</v>
      </c>
      <c r="T156" s="276" t="s">
        <v>27</v>
      </c>
      <c r="U156" s="276"/>
      <c r="V156" s="276"/>
      <c r="W156" s="276" t="s">
        <v>217</v>
      </c>
      <c r="X156" s="276"/>
    </row>
    <row r="157" spans="1:24" s="176" customFormat="1" ht="34.35" customHeight="1" x14ac:dyDescent="0.3">
      <c r="A157" s="276" t="s">
        <v>801</v>
      </c>
      <c r="B157" s="276" t="s">
        <v>1197</v>
      </c>
      <c r="C157" s="277" t="s">
        <v>1198</v>
      </c>
      <c r="D157" s="313"/>
      <c r="E157" s="313" t="s">
        <v>1199</v>
      </c>
      <c r="F157" s="278" t="s">
        <v>1200</v>
      </c>
      <c r="G157" s="279">
        <v>45617</v>
      </c>
      <c r="H157" s="278" t="s">
        <v>217</v>
      </c>
      <c r="I157" s="35" t="s">
        <v>57</v>
      </c>
      <c r="J157" s="35" t="s">
        <v>24</v>
      </c>
      <c r="K157" s="276"/>
      <c r="L157" s="276" t="s">
        <v>25</v>
      </c>
      <c r="M157" s="281">
        <v>118452.97</v>
      </c>
      <c r="N157" s="281">
        <f t="shared" si="0"/>
        <v>17767.945499999998</v>
      </c>
      <c r="O157" s="276" t="s">
        <v>26</v>
      </c>
      <c r="P157" s="281">
        <v>0</v>
      </c>
      <c r="Q157" s="281"/>
      <c r="R157" s="281">
        <f t="shared" ref="R157:R162" si="1">N157</f>
        <v>17767.945499999998</v>
      </c>
      <c r="S157" s="276" t="s">
        <v>27</v>
      </c>
      <c r="T157" s="276" t="s">
        <v>27</v>
      </c>
      <c r="U157" s="276"/>
      <c r="V157" s="276"/>
      <c r="W157" s="276" t="s">
        <v>217</v>
      </c>
      <c r="X157" s="276"/>
    </row>
    <row r="158" spans="1:24" s="176" customFormat="1" ht="34.35" customHeight="1" x14ac:dyDescent="0.3">
      <c r="A158" s="276" t="s">
        <v>999</v>
      </c>
      <c r="B158" s="276" t="s">
        <v>1201</v>
      </c>
      <c r="C158" s="277" t="s">
        <v>1202</v>
      </c>
      <c r="D158" s="313"/>
      <c r="E158" s="313" t="s">
        <v>1203</v>
      </c>
      <c r="F158" s="307" t="s">
        <v>1204</v>
      </c>
      <c r="G158" s="279" t="s">
        <v>1205</v>
      </c>
      <c r="H158" s="278" t="s">
        <v>223</v>
      </c>
      <c r="I158" s="35" t="s">
        <v>1098</v>
      </c>
      <c r="J158" s="35" t="s">
        <v>24</v>
      </c>
      <c r="K158" s="276"/>
      <c r="L158" s="276" t="s">
        <v>472</v>
      </c>
      <c r="M158" s="281">
        <v>24994.34</v>
      </c>
      <c r="N158" s="281">
        <f t="shared" si="0"/>
        <v>3749.1509999999998</v>
      </c>
      <c r="O158" s="276" t="s">
        <v>26</v>
      </c>
      <c r="P158" s="281">
        <v>0</v>
      </c>
      <c r="Q158" s="281"/>
      <c r="R158" s="281">
        <f t="shared" si="1"/>
        <v>3749.1509999999998</v>
      </c>
      <c r="S158" s="276" t="s">
        <v>27</v>
      </c>
      <c r="T158" s="276" t="s">
        <v>27</v>
      </c>
      <c r="U158" s="276"/>
      <c r="V158" s="276"/>
      <c r="W158" s="276" t="s">
        <v>217</v>
      </c>
      <c r="X158" s="276"/>
    </row>
    <row r="159" spans="1:24" s="176" customFormat="1" ht="34.35" customHeight="1" x14ac:dyDescent="0.3">
      <c r="A159" s="276" t="s">
        <v>1176</v>
      </c>
      <c r="B159" s="276" t="s">
        <v>1206</v>
      </c>
      <c r="C159" s="276" t="s">
        <v>1207</v>
      </c>
      <c r="D159" s="276"/>
      <c r="E159" s="278" t="s">
        <v>1208</v>
      </c>
      <c r="F159" s="278" t="s">
        <v>1209</v>
      </c>
      <c r="G159" s="279">
        <v>45625</v>
      </c>
      <c r="H159" s="278" t="s">
        <v>217</v>
      </c>
      <c r="I159" s="35" t="s">
        <v>57</v>
      </c>
      <c r="J159" s="35" t="s">
        <v>24</v>
      </c>
      <c r="K159" s="276"/>
      <c r="L159" s="276" t="s">
        <v>47</v>
      </c>
      <c r="M159" s="297">
        <v>473761.03</v>
      </c>
      <c r="N159" s="297">
        <f t="shared" si="0"/>
        <v>71064.154500000004</v>
      </c>
      <c r="O159" s="294" t="s">
        <v>26</v>
      </c>
      <c r="P159" s="297">
        <v>0</v>
      </c>
      <c r="Q159" s="297"/>
      <c r="R159" s="297">
        <f t="shared" si="1"/>
        <v>71064.154500000004</v>
      </c>
      <c r="S159" s="294" t="s">
        <v>27</v>
      </c>
      <c r="T159" s="294" t="s">
        <v>27</v>
      </c>
      <c r="U159" s="294"/>
      <c r="V159" s="294"/>
      <c r="W159" s="314" t="s">
        <v>223</v>
      </c>
      <c r="X159" s="294"/>
    </row>
    <row r="160" spans="1:24" s="176" customFormat="1" ht="34.35" customHeight="1" x14ac:dyDescent="0.3">
      <c r="A160" s="276" t="s">
        <v>1176</v>
      </c>
      <c r="B160" s="276" t="s">
        <v>1210</v>
      </c>
      <c r="C160" s="276" t="s">
        <v>1207</v>
      </c>
      <c r="D160" s="276"/>
      <c r="E160" s="276" t="s">
        <v>1211</v>
      </c>
      <c r="F160" s="278" t="s">
        <v>1212</v>
      </c>
      <c r="G160" s="279">
        <v>45625</v>
      </c>
      <c r="H160" s="278" t="s">
        <v>217</v>
      </c>
      <c r="I160" s="35" t="s">
        <v>1213</v>
      </c>
      <c r="J160" s="35" t="s">
        <v>24</v>
      </c>
      <c r="K160" s="276"/>
      <c r="L160" s="276" t="s">
        <v>47</v>
      </c>
      <c r="M160" s="297">
        <v>473761.03</v>
      </c>
      <c r="N160" s="297">
        <f t="shared" si="0"/>
        <v>71064.154500000004</v>
      </c>
      <c r="O160" s="294" t="s">
        <v>26</v>
      </c>
      <c r="P160" s="297">
        <v>0</v>
      </c>
      <c r="Q160" s="297"/>
      <c r="R160" s="297">
        <f t="shared" si="1"/>
        <v>71064.154500000004</v>
      </c>
      <c r="S160" s="282" t="s">
        <v>340</v>
      </c>
      <c r="T160" s="282" t="s">
        <v>340</v>
      </c>
      <c r="U160" s="294"/>
      <c r="V160" s="294"/>
      <c r="W160" s="294"/>
      <c r="X160" s="294"/>
    </row>
    <row r="161" spans="1:24" s="176" customFormat="1" ht="34.35" customHeight="1" x14ac:dyDescent="0.3">
      <c r="A161" s="276" t="s">
        <v>1176</v>
      </c>
      <c r="B161" s="276" t="s">
        <v>1214</v>
      </c>
      <c r="C161" s="276" t="s">
        <v>1207</v>
      </c>
      <c r="D161" s="276"/>
      <c r="E161" s="276" t="s">
        <v>1211</v>
      </c>
      <c r="F161" s="315" t="s">
        <v>1215</v>
      </c>
      <c r="G161" s="279">
        <v>45625</v>
      </c>
      <c r="H161" s="278" t="s">
        <v>217</v>
      </c>
      <c r="I161" s="35" t="s">
        <v>57</v>
      </c>
      <c r="J161" s="35" t="s">
        <v>24</v>
      </c>
      <c r="K161" s="276"/>
      <c r="L161" s="276" t="s">
        <v>47</v>
      </c>
      <c r="M161" s="297">
        <v>139861.17000000001</v>
      </c>
      <c r="N161" s="297">
        <f t="shared" si="0"/>
        <v>20979.175500000001</v>
      </c>
      <c r="O161" s="294" t="s">
        <v>26</v>
      </c>
      <c r="P161" s="297">
        <v>0</v>
      </c>
      <c r="Q161" s="297"/>
      <c r="R161" s="297">
        <f t="shared" si="1"/>
        <v>20979.175500000001</v>
      </c>
      <c r="S161" s="294" t="s">
        <v>27</v>
      </c>
      <c r="T161" s="294" t="s">
        <v>27</v>
      </c>
      <c r="U161" s="294"/>
      <c r="V161" s="294"/>
      <c r="W161" s="314" t="s">
        <v>223</v>
      </c>
      <c r="X161" s="294"/>
    </row>
    <row r="162" spans="1:24" s="176" customFormat="1" ht="34.35" customHeight="1" x14ac:dyDescent="0.3">
      <c r="A162" s="276" t="s">
        <v>91</v>
      </c>
      <c r="B162" s="276" t="s">
        <v>1216</v>
      </c>
      <c r="C162" s="277" t="s">
        <v>1217</v>
      </c>
      <c r="D162" s="277"/>
      <c r="E162" s="277" t="s">
        <v>1218</v>
      </c>
      <c r="F162" s="278" t="s">
        <v>1219</v>
      </c>
      <c r="G162" s="279">
        <v>45639</v>
      </c>
      <c r="H162" s="278" t="s">
        <v>223</v>
      </c>
      <c r="I162" s="35" t="s">
        <v>57</v>
      </c>
      <c r="J162" s="35" t="s">
        <v>24</v>
      </c>
      <c r="K162" s="276"/>
      <c r="L162" s="276" t="s">
        <v>25</v>
      </c>
      <c r="M162" s="281">
        <v>150000</v>
      </c>
      <c r="N162" s="281">
        <f t="shared" si="0"/>
        <v>22500</v>
      </c>
      <c r="O162" s="276" t="s">
        <v>26</v>
      </c>
      <c r="P162" s="281">
        <v>0</v>
      </c>
      <c r="Q162" s="281"/>
      <c r="R162" s="281">
        <f t="shared" si="1"/>
        <v>22500</v>
      </c>
      <c r="S162" s="282" t="s">
        <v>340</v>
      </c>
      <c r="T162" s="282" t="s">
        <v>340</v>
      </c>
      <c r="U162" s="276"/>
      <c r="V162" s="276"/>
      <c r="W162" s="280" t="s">
        <v>223</v>
      </c>
      <c r="X162" s="276"/>
    </row>
    <row r="163" spans="1:24" s="176" customFormat="1" ht="34.35" customHeight="1" x14ac:dyDescent="0.3">
      <c r="A163" s="276" t="s">
        <v>1102</v>
      </c>
      <c r="B163" s="276" t="s">
        <v>1220</v>
      </c>
      <c r="C163" s="277" t="s">
        <v>1221</v>
      </c>
      <c r="D163" s="277"/>
      <c r="E163" s="286" t="s">
        <v>1222</v>
      </c>
      <c r="F163" s="278" t="s">
        <v>1223</v>
      </c>
      <c r="G163" s="279">
        <v>45649</v>
      </c>
      <c r="H163" s="278" t="s">
        <v>223</v>
      </c>
      <c r="I163" s="35" t="s">
        <v>57</v>
      </c>
      <c r="J163" s="35" t="s">
        <v>24</v>
      </c>
      <c r="K163" s="276"/>
      <c r="L163" s="276" t="s">
        <v>25</v>
      </c>
      <c r="M163" s="281">
        <v>1291221.47</v>
      </c>
      <c r="N163" s="281">
        <f t="shared" si="0"/>
        <v>193683.2205</v>
      </c>
      <c r="O163" s="280" t="s">
        <v>72</v>
      </c>
      <c r="P163" s="281">
        <f>N163*0.5</f>
        <v>96841.610249999998</v>
      </c>
      <c r="Q163" s="282" t="s">
        <v>340</v>
      </c>
      <c r="R163" s="281">
        <f>N163*0.5</f>
        <v>96841.610249999998</v>
      </c>
      <c r="S163" s="282" t="s">
        <v>340</v>
      </c>
      <c r="T163" s="282" t="s">
        <v>340</v>
      </c>
      <c r="U163" s="276"/>
      <c r="V163" s="276"/>
      <c r="W163" s="280" t="s">
        <v>223</v>
      </c>
      <c r="X163" s="276"/>
    </row>
    <row r="164" spans="1:24" s="176" customFormat="1" ht="34.35" customHeight="1" x14ac:dyDescent="0.3">
      <c r="A164" s="276" t="s">
        <v>1145</v>
      </c>
      <c r="B164" s="276" t="s">
        <v>1146</v>
      </c>
      <c r="C164" s="277" t="s">
        <v>1224</v>
      </c>
      <c r="D164" s="277"/>
      <c r="E164" s="277"/>
      <c r="F164" s="278"/>
      <c r="G164" s="279"/>
      <c r="H164" s="278"/>
      <c r="I164" s="35" t="s">
        <v>57</v>
      </c>
      <c r="J164" s="35" t="s">
        <v>24</v>
      </c>
      <c r="K164" s="276"/>
      <c r="L164" s="276" t="s">
        <v>25</v>
      </c>
      <c r="M164" s="281">
        <v>1573526.74</v>
      </c>
      <c r="N164" s="281">
        <f t="shared" si="0"/>
        <v>236029.011</v>
      </c>
      <c r="O164" s="276" t="s">
        <v>26</v>
      </c>
      <c r="P164" s="281">
        <v>0</v>
      </c>
      <c r="Q164" s="281"/>
      <c r="R164" s="281">
        <f>N164</f>
        <v>236029.011</v>
      </c>
      <c r="S164" s="282" t="s">
        <v>340</v>
      </c>
      <c r="T164" s="282" t="s">
        <v>340</v>
      </c>
      <c r="U164" s="276"/>
      <c r="V164" s="276"/>
      <c r="W164" s="276" t="s">
        <v>223</v>
      </c>
      <c r="X164" s="276"/>
    </row>
    <row r="165" spans="1:24" s="176" customFormat="1" ht="34.35" customHeight="1" x14ac:dyDescent="0.3">
      <c r="A165" s="276" t="s">
        <v>776</v>
      </c>
      <c r="B165" s="276" t="s">
        <v>1225</v>
      </c>
      <c r="C165" s="277" t="s">
        <v>1226</v>
      </c>
      <c r="D165" s="313"/>
      <c r="E165" s="313"/>
      <c r="F165" s="278"/>
      <c r="G165" s="249"/>
      <c r="H165" s="242"/>
      <c r="I165" s="35" t="s">
        <v>213</v>
      </c>
      <c r="J165" s="35" t="s">
        <v>118</v>
      </c>
      <c r="K165" s="46" t="s">
        <v>417</v>
      </c>
      <c r="L165" s="276" t="s">
        <v>47</v>
      </c>
      <c r="M165" s="281">
        <v>36293.47</v>
      </c>
      <c r="N165" s="281">
        <f>M165*0.12</f>
        <v>4355.2164000000002</v>
      </c>
      <c r="O165" s="276" t="s">
        <v>26</v>
      </c>
      <c r="P165" s="281">
        <v>0</v>
      </c>
      <c r="Q165" s="281"/>
      <c r="R165" s="281">
        <f>N165</f>
        <v>4355.2164000000002</v>
      </c>
      <c r="S165" s="276" t="s">
        <v>27</v>
      </c>
      <c r="T165" s="276" t="s">
        <v>27</v>
      </c>
      <c r="U165" s="276"/>
      <c r="V165" s="276"/>
      <c r="W165" s="276" t="s">
        <v>217</v>
      </c>
      <c r="X165" s="276"/>
    </row>
    <row r="166" spans="1:24" s="176" customFormat="1" ht="34.35" customHeight="1" x14ac:dyDescent="0.3">
      <c r="A166" s="276" t="s">
        <v>1227</v>
      </c>
      <c r="B166" s="276" t="s">
        <v>558</v>
      </c>
      <c r="C166" s="277" t="s">
        <v>1228</v>
      </c>
      <c r="D166" s="313"/>
      <c r="E166" s="313" t="s">
        <v>1229</v>
      </c>
      <c r="F166" s="278" t="s">
        <v>1230</v>
      </c>
      <c r="G166" s="279">
        <v>45638</v>
      </c>
      <c r="H166" s="278" t="s">
        <v>223</v>
      </c>
      <c r="I166" s="35" t="s">
        <v>57</v>
      </c>
      <c r="J166" s="35" t="s">
        <v>24</v>
      </c>
      <c r="K166" s="276"/>
      <c r="L166" s="276" t="s">
        <v>25</v>
      </c>
      <c r="M166" s="281">
        <v>2519.11</v>
      </c>
      <c r="N166" s="281">
        <v>377.92</v>
      </c>
      <c r="O166" s="276" t="s">
        <v>26</v>
      </c>
      <c r="P166" s="281">
        <v>0</v>
      </c>
      <c r="Q166" s="281"/>
      <c r="R166" s="281">
        <f>N166</f>
        <v>377.92</v>
      </c>
      <c r="S166" s="276" t="s">
        <v>27</v>
      </c>
      <c r="T166" s="276" t="s">
        <v>27</v>
      </c>
      <c r="U166" s="276"/>
      <c r="V166" s="276"/>
      <c r="W166" s="276" t="s">
        <v>223</v>
      </c>
      <c r="X166" s="276"/>
    </row>
    <row r="167" spans="1:24" s="176" customFormat="1" ht="34.35" customHeight="1" x14ac:dyDescent="0.3">
      <c r="A167" s="276" t="s">
        <v>439</v>
      </c>
      <c r="B167" s="276" t="s">
        <v>1231</v>
      </c>
      <c r="C167" s="309" t="s">
        <v>1232</v>
      </c>
      <c r="D167" s="309"/>
      <c r="E167" s="286" t="s">
        <v>1233</v>
      </c>
      <c r="F167" s="278" t="s">
        <v>1234</v>
      </c>
      <c r="G167" s="279">
        <v>45657</v>
      </c>
      <c r="H167" s="278" t="s">
        <v>223</v>
      </c>
      <c r="I167" s="35" t="s">
        <v>57</v>
      </c>
      <c r="J167" s="35" t="s">
        <v>24</v>
      </c>
      <c r="K167" s="276"/>
      <c r="L167" s="276" t="s">
        <v>25</v>
      </c>
      <c r="M167" s="281">
        <v>305025.88</v>
      </c>
      <c r="N167" s="281">
        <f>M167*0.15</f>
        <v>45753.881999999998</v>
      </c>
      <c r="O167" s="276" t="s">
        <v>26</v>
      </c>
      <c r="P167" s="281">
        <v>0</v>
      </c>
      <c r="Q167" s="281"/>
      <c r="R167" s="281">
        <f>N167</f>
        <v>45753.881999999998</v>
      </c>
      <c r="S167" s="282" t="s">
        <v>340</v>
      </c>
      <c r="T167" s="282" t="s">
        <v>340</v>
      </c>
      <c r="U167" s="276"/>
      <c r="V167" s="276"/>
      <c r="W167" s="276" t="s">
        <v>223</v>
      </c>
      <c r="X167" s="276"/>
    </row>
    <row r="168" spans="1:24" s="261" customFormat="1" ht="34.35" customHeight="1" x14ac:dyDescent="0.3">
      <c r="A168" s="230" t="s">
        <v>742</v>
      </c>
      <c r="B168" s="330" t="s">
        <v>1235</v>
      </c>
      <c r="C168" s="272" t="s">
        <v>1236</v>
      </c>
      <c r="D168" s="272"/>
      <c r="E168" s="247" t="s">
        <v>1624</v>
      </c>
      <c r="F168" s="322"/>
      <c r="G168" s="323"/>
      <c r="H168" s="322"/>
      <c r="I168" s="334" t="s">
        <v>213</v>
      </c>
      <c r="J168" s="334" t="s">
        <v>118</v>
      </c>
      <c r="K168" s="230" t="s">
        <v>417</v>
      </c>
      <c r="L168" s="230" t="s">
        <v>47</v>
      </c>
      <c r="M168" s="2">
        <v>63503.72</v>
      </c>
      <c r="N168" s="2">
        <f>M168*0.12</f>
        <v>7620.4463999999998</v>
      </c>
      <c r="O168" s="230" t="s">
        <v>26</v>
      </c>
      <c r="P168" s="2">
        <v>0</v>
      </c>
      <c r="Q168" s="2"/>
      <c r="R168" s="2">
        <f>N168</f>
        <v>7620.4463999999998</v>
      </c>
      <c r="S168" s="230" t="s">
        <v>27</v>
      </c>
      <c r="T168" s="230" t="s">
        <v>27</v>
      </c>
      <c r="U168" s="230"/>
      <c r="V168" s="230"/>
      <c r="W168" s="230" t="s">
        <v>223</v>
      </c>
      <c r="X168" s="230"/>
    </row>
    <row r="169" spans="1:24" s="176" customFormat="1" ht="34.35" customHeight="1" x14ac:dyDescent="0.3">
      <c r="A169" s="274" t="s">
        <v>51</v>
      </c>
      <c r="B169" s="274" t="s">
        <v>1237</v>
      </c>
      <c r="C169" s="258" t="s">
        <v>1238</v>
      </c>
      <c r="D169" s="258"/>
      <c r="E169" s="97"/>
      <c r="F169" s="242"/>
      <c r="G169" s="249"/>
      <c r="H169" s="242"/>
      <c r="I169" s="35" t="s">
        <v>57</v>
      </c>
      <c r="J169" s="35" t="s">
        <v>46</v>
      </c>
      <c r="K169" s="46"/>
      <c r="L169" s="46" t="s">
        <v>25</v>
      </c>
      <c r="M169" s="34">
        <v>7580.53</v>
      </c>
      <c r="N169" s="34">
        <f>M169*0.15</f>
        <v>1137.0794999999998</v>
      </c>
      <c r="O169" s="250" t="s">
        <v>72</v>
      </c>
      <c r="P169" s="34">
        <f>N169*0.6</f>
        <v>682.2476999999999</v>
      </c>
      <c r="Q169" s="46" t="s">
        <v>27</v>
      </c>
      <c r="R169" s="34">
        <f>N169*0.4</f>
        <v>454.83179999999993</v>
      </c>
      <c r="S169" s="46" t="s">
        <v>27</v>
      </c>
      <c r="T169" s="46" t="s">
        <v>27</v>
      </c>
      <c r="U169" s="46"/>
      <c r="V169" s="46"/>
      <c r="W169" s="46" t="s">
        <v>223</v>
      </c>
      <c r="X169" s="46"/>
    </row>
    <row r="170" spans="1:24" s="261" customFormat="1" ht="34.35" customHeight="1" x14ac:dyDescent="0.3">
      <c r="A170" s="46" t="s">
        <v>1239</v>
      </c>
      <c r="B170" s="46" t="s">
        <v>1240</v>
      </c>
      <c r="C170" s="102"/>
      <c r="D170" s="102"/>
      <c r="E170" s="102"/>
      <c r="F170" s="240"/>
      <c r="G170" s="241"/>
      <c r="H170" s="240"/>
      <c r="I170" s="41" t="s">
        <v>145</v>
      </c>
      <c r="J170" s="35" t="s">
        <v>24</v>
      </c>
      <c r="K170" s="46"/>
      <c r="L170" s="6" t="s">
        <v>142</v>
      </c>
      <c r="M170" s="9">
        <v>0</v>
      </c>
      <c r="N170" s="9">
        <v>-110620.65</v>
      </c>
      <c r="O170" s="9" t="s">
        <v>26</v>
      </c>
      <c r="P170" s="9">
        <v>0</v>
      </c>
      <c r="Q170" s="9"/>
      <c r="R170" s="9">
        <f>N170</f>
        <v>-110620.65</v>
      </c>
      <c r="S170" s="50" t="s">
        <v>27</v>
      </c>
      <c r="T170" s="50" t="s">
        <v>27</v>
      </c>
      <c r="U170" s="6"/>
      <c r="V170" s="6"/>
      <c r="W170" s="6" t="s">
        <v>223</v>
      </c>
      <c r="X170" s="6"/>
    </row>
    <row r="171" spans="1:24" s="176" customFormat="1" ht="34.35" customHeight="1" x14ac:dyDescent="0.3">
      <c r="C171"/>
      <c r="D171"/>
      <c r="E171" s="107"/>
      <c r="F171" s="177"/>
      <c r="G171" s="255"/>
      <c r="H171" s="177"/>
      <c r="I171"/>
      <c r="J171"/>
      <c r="K171"/>
      <c r="L171"/>
      <c r="M171" s="1"/>
      <c r="N171" s="1"/>
      <c r="O171" s="1"/>
      <c r="P171" s="1"/>
      <c r="Q171"/>
      <c r="R171"/>
      <c r="S171"/>
      <c r="T171"/>
      <c r="U171"/>
      <c r="V171"/>
      <c r="W171"/>
      <c r="X171"/>
    </row>
    <row r="172" spans="1:24" ht="34.35" customHeight="1" x14ac:dyDescent="0.3">
      <c r="A172" s="46" t="s">
        <v>672</v>
      </c>
      <c r="B172" s="34">
        <f>I175</f>
        <v>6754539.0548017099</v>
      </c>
      <c r="C172"/>
      <c r="D172"/>
      <c r="F172" s="177"/>
      <c r="G172" s="255"/>
      <c r="H172" s="177"/>
      <c r="M172" s="1"/>
      <c r="N172" s="1"/>
      <c r="O172" s="1"/>
      <c r="P172" s="1"/>
      <c r="Q172" s="1"/>
    </row>
    <row r="173" spans="1:24" ht="34.35" customHeight="1" x14ac:dyDescent="0.3">
      <c r="A173" s="46" t="s">
        <v>375</v>
      </c>
      <c r="B173" s="9">
        <f>B172*0.16</f>
        <v>1080726.2487682735</v>
      </c>
      <c r="N173" s="1"/>
      <c r="P173" s="1"/>
      <c r="Q173" s="1"/>
    </row>
    <row r="174" spans="1:24" ht="34.35" customHeight="1" x14ac:dyDescent="0.3">
      <c r="A174" s="6" t="s">
        <v>376</v>
      </c>
      <c r="B174" s="9">
        <f>B172+B173</f>
        <v>7835265.3035699837</v>
      </c>
      <c r="I174" s="39" t="s">
        <v>373</v>
      </c>
      <c r="J174" s="39" t="s">
        <v>374</v>
      </c>
      <c r="K174" s="39"/>
      <c r="L174" s="39" t="s">
        <v>13</v>
      </c>
      <c r="M174" s="1"/>
      <c r="N174" s="1"/>
      <c r="P174" s="13"/>
      <c r="Q174" s="1"/>
    </row>
    <row r="175" spans="1:24" ht="33" customHeight="1" x14ac:dyDescent="0.3">
      <c r="I175" s="2">
        <f>SUBTOTAL(9,N2:N170)</f>
        <v>6754539.0548017099</v>
      </c>
      <c r="J175" s="2">
        <f>SUBTOTAL(9,P2:P170)</f>
        <v>2376335.8902541562</v>
      </c>
      <c r="K175" s="2"/>
      <c r="L175" s="2">
        <f>SUBTOTAL(9,R2:R170)</f>
        <v>4378203.1645475551</v>
      </c>
      <c r="M175" s="1"/>
      <c r="N175" s="1"/>
      <c r="P175" s="13"/>
    </row>
    <row r="176" spans="1:24" ht="24" customHeight="1" x14ac:dyDescent="0.3">
      <c r="C176" s="107">
        <v>117</v>
      </c>
      <c r="F176" s="244">
        <v>160</v>
      </c>
      <c r="G176" s="244">
        <f>F176-C176</f>
        <v>43</v>
      </c>
      <c r="P176" s="206"/>
      <c r="Q176" s="1"/>
    </row>
    <row r="177" spans="9:15" ht="24" customHeight="1" x14ac:dyDescent="0.3">
      <c r="M177" s="1"/>
      <c r="N177" s="1"/>
      <c r="O177" s="1"/>
    </row>
    <row r="178" spans="9:15" ht="24" customHeight="1" x14ac:dyDescent="0.3">
      <c r="I178" s="1"/>
      <c r="J178" s="1"/>
      <c r="K178" s="1"/>
      <c r="M178" s="1"/>
    </row>
    <row r="179" spans="9:15" ht="24" customHeight="1" x14ac:dyDescent="0.3">
      <c r="J179" s="1"/>
      <c r="K179" s="1"/>
      <c r="L179" s="1"/>
    </row>
    <row r="180" spans="9:15" ht="24" customHeight="1" x14ac:dyDescent="0.3">
      <c r="I180" s="1"/>
      <c r="J180" s="1"/>
      <c r="K180" s="1"/>
    </row>
    <row r="181" spans="9:15" ht="24" customHeight="1" x14ac:dyDescent="0.3">
      <c r="L181" s="1"/>
    </row>
    <row r="182" spans="9:15" ht="24" customHeight="1" x14ac:dyDescent="0.3">
      <c r="I182" s="1">
        <f>'2023'!F148-'2024'!I175</f>
        <v>2479978.7443878166</v>
      </c>
      <c r="J182" s="1"/>
      <c r="K182" s="1"/>
      <c r="L182" s="13"/>
      <c r="M182" s="206"/>
      <c r="N182" s="206"/>
    </row>
    <row r="184" spans="9:15" ht="24" customHeight="1" x14ac:dyDescent="0.3">
      <c r="J184" s="13"/>
      <c r="K184" s="13"/>
    </row>
  </sheetData>
  <phoneticPr fontId="6" type="noConversion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D39FA-3E57-402D-BF52-5076B5EC55FC}">
  <sheetPr filterMode="1"/>
  <dimension ref="A1:AU218"/>
  <sheetViews>
    <sheetView tabSelected="1" topLeftCell="A178" zoomScale="60" zoomScaleNormal="60" zoomScaleSheetLayoutView="90" workbookViewId="0">
      <selection activeCell="A192" sqref="A192:XFD192"/>
    </sheetView>
  </sheetViews>
  <sheetFormatPr baseColWidth="10" defaultColWidth="16.5546875" defaultRowHeight="25.95" customHeight="1" x14ac:dyDescent="0.3"/>
  <cols>
    <col min="1" max="1" width="38.6640625" style="176" customWidth="1"/>
    <col min="2" max="2" width="51.6640625" style="176" customWidth="1"/>
    <col min="3" max="3" width="41.5546875" style="417" hidden="1" customWidth="1"/>
    <col min="4" max="4" width="16.33203125" style="176" hidden="1" customWidth="1"/>
    <col min="5" max="5" width="37.5546875" style="418" hidden="1" customWidth="1"/>
    <col min="6" max="6" width="33.44140625" style="417" hidden="1" customWidth="1"/>
    <col min="7" max="7" width="31.5546875" style="418" customWidth="1"/>
    <col min="8" max="8" width="57.88671875" style="418" customWidth="1"/>
    <col min="9" max="9" width="25.5546875" style="420" customWidth="1"/>
    <col min="10" max="10" width="21.6640625" style="176" customWidth="1"/>
    <col min="11" max="11" width="25.33203125" style="176" customWidth="1"/>
    <col min="12" max="12" width="29.6640625" style="176" customWidth="1"/>
    <col min="13" max="13" width="38" style="176" hidden="1" customWidth="1"/>
    <col min="14" max="14" width="49.88671875" style="176" hidden="1" customWidth="1"/>
    <col min="15" max="15" width="6.88671875" style="176" hidden="1" customWidth="1"/>
    <col min="16" max="16" width="17" style="176" customWidth="1"/>
    <col min="17" max="17" width="26.88671875" style="176" customWidth="1"/>
    <col min="18" max="18" width="32.44140625" style="176" customWidth="1"/>
    <col min="19" max="19" width="34.88671875" style="176" customWidth="1"/>
    <col min="20" max="20" width="38.88671875" style="176" customWidth="1"/>
    <col min="21" max="21" width="41.5546875" style="420" customWidth="1"/>
    <col min="22" max="22" width="22.44140625" style="176" customWidth="1"/>
    <col min="23" max="23" width="19.109375" style="176" customWidth="1"/>
    <col min="24" max="24" width="22.44140625" style="176" customWidth="1"/>
    <col min="25" max="25" width="36.5546875" style="176" customWidth="1"/>
    <col min="26" max="26" width="31.6640625" style="176" customWidth="1"/>
    <col min="27" max="27" width="49.88671875" style="176" customWidth="1"/>
    <col min="28" max="28" width="28.6640625" style="176" customWidth="1"/>
    <col min="29" max="29" width="33.33203125" style="176" customWidth="1"/>
    <col min="30" max="30" width="46.6640625" style="176" customWidth="1"/>
    <col min="31" max="16384" width="16.5546875" style="176"/>
  </cols>
  <sheetData>
    <row r="1" spans="1:30" customFormat="1" ht="36" customHeight="1" x14ac:dyDescent="0.3">
      <c r="A1" s="455" t="s">
        <v>377</v>
      </c>
      <c r="B1" s="455" t="s">
        <v>378</v>
      </c>
      <c r="C1" s="455" t="s">
        <v>707</v>
      </c>
      <c r="D1" s="455" t="s">
        <v>1956</v>
      </c>
      <c r="E1" s="455" t="s">
        <v>709</v>
      </c>
      <c r="F1" s="455" t="s">
        <v>1480</v>
      </c>
      <c r="G1" s="455" t="s">
        <v>2</v>
      </c>
      <c r="H1" s="455" t="s">
        <v>1531</v>
      </c>
      <c r="I1" s="455" t="s">
        <v>1846</v>
      </c>
      <c r="J1" s="455" t="s">
        <v>4</v>
      </c>
      <c r="K1" s="455" t="s">
        <v>1241</v>
      </c>
      <c r="L1" s="455" t="s">
        <v>1724</v>
      </c>
      <c r="M1" s="455" t="s">
        <v>1727</v>
      </c>
      <c r="N1" s="455" t="s">
        <v>1242</v>
      </c>
      <c r="O1" s="455" t="s">
        <v>1243</v>
      </c>
      <c r="P1" s="455" t="s">
        <v>7</v>
      </c>
      <c r="Q1" s="455" t="s">
        <v>8</v>
      </c>
      <c r="R1" s="455" t="s">
        <v>9</v>
      </c>
      <c r="S1" s="455"/>
      <c r="T1" s="455" t="s">
        <v>380</v>
      </c>
      <c r="U1" s="455" t="s">
        <v>12</v>
      </c>
      <c r="V1" s="455" t="s">
        <v>13</v>
      </c>
      <c r="W1" s="455" t="s">
        <v>1798</v>
      </c>
      <c r="X1" s="455" t="s">
        <v>1799</v>
      </c>
      <c r="Y1" s="455" t="s">
        <v>14</v>
      </c>
      <c r="Z1" s="455" t="s">
        <v>1456</v>
      </c>
      <c r="AA1" s="455" t="s">
        <v>1457</v>
      </c>
      <c r="AB1" s="455" t="s">
        <v>1244</v>
      </c>
      <c r="AC1" s="455" t="s">
        <v>2023</v>
      </c>
      <c r="AD1" s="455" t="s">
        <v>1797</v>
      </c>
    </row>
    <row r="2" spans="1:30" ht="25.95" hidden="1" customHeight="1" x14ac:dyDescent="0.3">
      <c r="A2" s="196" t="s">
        <v>817</v>
      </c>
      <c r="B2" s="197" t="s">
        <v>1318</v>
      </c>
      <c r="C2" s="413" t="s">
        <v>1847</v>
      </c>
      <c r="D2" s="196" t="s">
        <v>1609</v>
      </c>
      <c r="E2" s="414" t="s">
        <v>1848</v>
      </c>
      <c r="F2" s="413" t="s">
        <v>1569</v>
      </c>
      <c r="G2" s="414" t="s">
        <v>1319</v>
      </c>
      <c r="H2" s="414" t="s">
        <v>1849</v>
      </c>
      <c r="I2" s="411">
        <v>45680</v>
      </c>
      <c r="J2" s="196" t="s">
        <v>44</v>
      </c>
      <c r="K2" s="196" t="s">
        <v>1246</v>
      </c>
      <c r="L2" s="196" t="s">
        <v>57</v>
      </c>
      <c r="M2" s="196" t="s">
        <v>417</v>
      </c>
      <c r="N2" s="196" t="s">
        <v>1249</v>
      </c>
      <c r="O2" s="196" t="s">
        <v>1272</v>
      </c>
      <c r="P2" s="196" t="s">
        <v>47</v>
      </c>
      <c r="Q2" s="192">
        <v>1159475.3400000001</v>
      </c>
      <c r="R2" s="192">
        <f>Q2*0.2</f>
        <v>231895.06800000003</v>
      </c>
      <c r="S2" s="410" t="s">
        <v>1273</v>
      </c>
      <c r="T2" s="192">
        <f>R2*0.5</f>
        <v>115947.53400000001</v>
      </c>
      <c r="U2" s="190" t="s">
        <v>27</v>
      </c>
      <c r="V2" s="192">
        <f>R2*0.5</f>
        <v>115947.53400000001</v>
      </c>
      <c r="W2" s="192">
        <f t="shared" ref="W2:W7" si="0">R2*0.16</f>
        <v>37103.210880000006</v>
      </c>
      <c r="X2" s="192">
        <f>R2+W2</f>
        <v>268998.27888000006</v>
      </c>
      <c r="Y2" s="190" t="s">
        <v>27</v>
      </c>
      <c r="Z2" s="398" t="s">
        <v>27</v>
      </c>
      <c r="AA2" s="398" t="s">
        <v>27</v>
      </c>
      <c r="AB2" s="196" t="s">
        <v>1506</v>
      </c>
      <c r="AC2" s="196" t="s">
        <v>54</v>
      </c>
      <c r="AD2" s="196"/>
    </row>
    <row r="3" spans="1:30" ht="25.95" hidden="1" customHeight="1" x14ac:dyDescent="0.3">
      <c r="A3" s="196" t="s">
        <v>1192</v>
      </c>
      <c r="B3" s="196" t="s">
        <v>1251</v>
      </c>
      <c r="C3" s="413" t="s">
        <v>1850</v>
      </c>
      <c r="D3" s="196" t="s">
        <v>1609</v>
      </c>
      <c r="E3" s="414" t="s">
        <v>1250</v>
      </c>
      <c r="F3" s="413" t="s">
        <v>1250</v>
      </c>
      <c r="G3" s="414" t="s">
        <v>1253</v>
      </c>
      <c r="H3" s="414" t="s">
        <v>1252</v>
      </c>
      <c r="I3" s="411">
        <v>45643</v>
      </c>
      <c r="J3" s="196" t="s">
        <v>223</v>
      </c>
      <c r="K3" s="196" t="s">
        <v>1246</v>
      </c>
      <c r="L3" s="196" t="s">
        <v>57</v>
      </c>
      <c r="M3" s="196" t="s">
        <v>1254</v>
      </c>
      <c r="N3" s="196" t="s">
        <v>1249</v>
      </c>
      <c r="O3" s="196" t="s">
        <v>46</v>
      </c>
      <c r="P3" s="196" t="s">
        <v>25</v>
      </c>
      <c r="Q3" s="192">
        <v>231082.59</v>
      </c>
      <c r="R3" s="192">
        <f>Q3*0.15</f>
        <v>34662.388500000001</v>
      </c>
      <c r="S3" s="192" t="s">
        <v>72</v>
      </c>
      <c r="T3" s="192">
        <f>R3*0.6</f>
        <v>20797.433099999998</v>
      </c>
      <c r="U3" s="425" t="s">
        <v>27</v>
      </c>
      <c r="V3" s="192">
        <f>R3*0.4</f>
        <v>13864.955400000001</v>
      </c>
      <c r="W3" s="192">
        <f t="shared" si="0"/>
        <v>5545.9821600000005</v>
      </c>
      <c r="X3" s="192">
        <f t="shared" ref="X3:X7" si="1">V3+W3</f>
        <v>19410.937560000002</v>
      </c>
      <c r="Y3" s="190" t="s">
        <v>27</v>
      </c>
      <c r="Z3" s="398" t="s">
        <v>1994</v>
      </c>
      <c r="AA3" s="398" t="s">
        <v>27</v>
      </c>
      <c r="AB3" s="196" t="s">
        <v>46</v>
      </c>
      <c r="AC3" s="196" t="s">
        <v>44</v>
      </c>
      <c r="AD3" s="196"/>
    </row>
    <row r="4" spans="1:30" ht="25.95" hidden="1" customHeight="1" x14ac:dyDescent="0.3">
      <c r="A4" s="196" t="s">
        <v>1262</v>
      </c>
      <c r="B4" s="196" t="s">
        <v>1262</v>
      </c>
      <c r="C4" s="413" t="s">
        <v>1516</v>
      </c>
      <c r="D4" s="196" t="s">
        <v>1547</v>
      </c>
      <c r="E4" s="414" t="s">
        <v>1250</v>
      </c>
      <c r="F4" s="413" t="s">
        <v>1250</v>
      </c>
      <c r="G4" s="414" t="s">
        <v>1263</v>
      </c>
      <c r="H4" s="414" t="s">
        <v>1851</v>
      </c>
      <c r="I4" s="411">
        <v>45672</v>
      </c>
      <c r="J4" s="196" t="s">
        <v>44</v>
      </c>
      <c r="K4" s="196" t="s">
        <v>1246</v>
      </c>
      <c r="L4" s="196" t="s">
        <v>57</v>
      </c>
      <c r="M4" s="196" t="s">
        <v>1254</v>
      </c>
      <c r="N4" s="196" t="s">
        <v>1249</v>
      </c>
      <c r="O4" s="196" t="s">
        <v>46</v>
      </c>
      <c r="P4" s="196" t="s">
        <v>25</v>
      </c>
      <c r="Q4" s="192">
        <v>279435.19</v>
      </c>
      <c r="R4" s="192">
        <f>Q4*0.15</f>
        <v>41915.2785</v>
      </c>
      <c r="S4" s="192" t="s">
        <v>72</v>
      </c>
      <c r="T4" s="192">
        <f>R4*0.6</f>
        <v>25149.167099999999</v>
      </c>
      <c r="U4" s="425" t="s">
        <v>27</v>
      </c>
      <c r="V4" s="192">
        <f>R4*0.4</f>
        <v>16766.111400000002</v>
      </c>
      <c r="W4" s="192">
        <f t="shared" si="0"/>
        <v>6706.4445599999999</v>
      </c>
      <c r="X4" s="192">
        <f t="shared" si="1"/>
        <v>23472.555960000002</v>
      </c>
      <c r="Y4" s="190" t="s">
        <v>27</v>
      </c>
      <c r="Z4" s="398" t="s">
        <v>1993</v>
      </c>
      <c r="AA4" s="398" t="s">
        <v>27</v>
      </c>
      <c r="AB4" s="196" t="s">
        <v>46</v>
      </c>
      <c r="AC4" s="196" t="s">
        <v>44</v>
      </c>
      <c r="AD4" s="196"/>
    </row>
    <row r="5" spans="1:30" ht="25.95" hidden="1" customHeight="1" x14ac:dyDescent="0.3">
      <c r="A5" s="196" t="s">
        <v>776</v>
      </c>
      <c r="B5" s="196" t="s">
        <v>1256</v>
      </c>
      <c r="C5" s="413" t="s">
        <v>1516</v>
      </c>
      <c r="D5" s="196" t="s">
        <v>1547</v>
      </c>
      <c r="E5" s="414" t="s">
        <v>1250</v>
      </c>
      <c r="F5" s="413" t="s">
        <v>1250</v>
      </c>
      <c r="G5" s="414" t="s">
        <v>1257</v>
      </c>
      <c r="H5" s="414" t="s">
        <v>1423</v>
      </c>
      <c r="I5" s="411">
        <v>45677</v>
      </c>
      <c r="J5" s="196" t="s">
        <v>44</v>
      </c>
      <c r="K5" s="196" t="s">
        <v>1246</v>
      </c>
      <c r="L5" s="196" t="s">
        <v>213</v>
      </c>
      <c r="M5" s="196" t="s">
        <v>417</v>
      </c>
      <c r="N5" s="196" t="s">
        <v>1249</v>
      </c>
      <c r="O5" s="196" t="s">
        <v>1250</v>
      </c>
      <c r="P5" s="196" t="s">
        <v>47</v>
      </c>
      <c r="Q5" s="192">
        <v>16767.12</v>
      </c>
      <c r="R5" s="192">
        <f>Q5*0.12</f>
        <v>2012.0543999999998</v>
      </c>
      <c r="S5" s="192" t="s">
        <v>26</v>
      </c>
      <c r="T5" s="192">
        <v>0</v>
      </c>
      <c r="U5" s="401"/>
      <c r="V5" s="192">
        <f>R5</f>
        <v>2012.0543999999998</v>
      </c>
      <c r="W5" s="192">
        <f t="shared" si="0"/>
        <v>321.92870399999998</v>
      </c>
      <c r="X5" s="192">
        <f t="shared" si="1"/>
        <v>2333.9831039999999</v>
      </c>
      <c r="Y5" s="190" t="s">
        <v>27</v>
      </c>
      <c r="Z5" s="398" t="s">
        <v>1992</v>
      </c>
      <c r="AA5" s="398" t="s">
        <v>27</v>
      </c>
      <c r="AB5" s="196" t="s">
        <v>24</v>
      </c>
      <c r="AC5" s="196" t="s">
        <v>99</v>
      </c>
      <c r="AD5" s="196"/>
    </row>
    <row r="6" spans="1:30" ht="25.95" hidden="1" customHeight="1" x14ac:dyDescent="0.3">
      <c r="A6" s="196" t="s">
        <v>670</v>
      </c>
      <c r="B6" s="196" t="s">
        <v>1259</v>
      </c>
      <c r="C6" s="413" t="s">
        <v>1516</v>
      </c>
      <c r="D6" s="196" t="s">
        <v>1547</v>
      </c>
      <c r="E6" s="414" t="s">
        <v>1250</v>
      </c>
      <c r="F6" s="413" t="s">
        <v>1250</v>
      </c>
      <c r="G6" s="414" t="s">
        <v>1420</v>
      </c>
      <c r="H6" s="414" t="s">
        <v>1419</v>
      </c>
      <c r="I6" s="411">
        <v>45786</v>
      </c>
      <c r="J6" s="196" t="s">
        <v>84</v>
      </c>
      <c r="K6" s="196" t="s">
        <v>1246</v>
      </c>
      <c r="L6" s="196" t="s">
        <v>145</v>
      </c>
      <c r="M6" s="196" t="s">
        <v>1248</v>
      </c>
      <c r="N6" s="196" t="s">
        <v>1249</v>
      </c>
      <c r="O6" s="196" t="s">
        <v>1250</v>
      </c>
      <c r="P6" s="196" t="s">
        <v>25</v>
      </c>
      <c r="Q6" s="192">
        <v>10902.54</v>
      </c>
      <c r="R6" s="192">
        <f>Q6*0.15</f>
        <v>1635.3810000000001</v>
      </c>
      <c r="S6" s="192" t="s">
        <v>26</v>
      </c>
      <c r="T6" s="192">
        <v>0</v>
      </c>
      <c r="U6" s="401"/>
      <c r="V6" s="192">
        <f>R6</f>
        <v>1635.3810000000001</v>
      </c>
      <c r="W6" s="192">
        <f t="shared" si="0"/>
        <v>261.66096000000005</v>
      </c>
      <c r="X6" s="192">
        <f t="shared" si="1"/>
        <v>1897.04196</v>
      </c>
      <c r="Y6" s="190" t="s">
        <v>27</v>
      </c>
      <c r="Z6" s="398" t="s">
        <v>1991</v>
      </c>
      <c r="AA6" s="398" t="s">
        <v>27</v>
      </c>
      <c r="AB6" s="196" t="s">
        <v>24</v>
      </c>
      <c r="AC6" s="196" t="s">
        <v>84</v>
      </c>
      <c r="AD6" s="196"/>
    </row>
    <row r="7" spans="1:30" ht="25.95" hidden="1" customHeight="1" x14ac:dyDescent="0.3">
      <c r="A7" s="196" t="s">
        <v>670</v>
      </c>
      <c r="B7" s="196" t="s">
        <v>1260</v>
      </c>
      <c r="C7" s="413" t="s">
        <v>1516</v>
      </c>
      <c r="D7" s="196" t="s">
        <v>1547</v>
      </c>
      <c r="E7" s="414" t="s">
        <v>1250</v>
      </c>
      <c r="F7" s="413" t="s">
        <v>1250</v>
      </c>
      <c r="G7" s="414" t="s">
        <v>1421</v>
      </c>
      <c r="H7" s="414" t="s">
        <v>1422</v>
      </c>
      <c r="I7" s="411">
        <v>45789</v>
      </c>
      <c r="J7" s="196" t="s">
        <v>84</v>
      </c>
      <c r="K7" s="196" t="s">
        <v>1246</v>
      </c>
      <c r="L7" s="196" t="s">
        <v>145</v>
      </c>
      <c r="M7" s="196" t="s">
        <v>1248</v>
      </c>
      <c r="N7" s="196" t="s">
        <v>1249</v>
      </c>
      <c r="O7" s="196" t="s">
        <v>1250</v>
      </c>
      <c r="P7" s="196" t="s">
        <v>25</v>
      </c>
      <c r="Q7" s="192">
        <v>26776.77</v>
      </c>
      <c r="R7" s="192">
        <f>Q7*0.15</f>
        <v>4016.5155</v>
      </c>
      <c r="S7" s="192" t="s">
        <v>26</v>
      </c>
      <c r="T7" s="192">
        <v>0</v>
      </c>
      <c r="U7" s="401"/>
      <c r="V7" s="192">
        <f>R7</f>
        <v>4016.5155</v>
      </c>
      <c r="W7" s="192">
        <f t="shared" si="0"/>
        <v>642.64247999999998</v>
      </c>
      <c r="X7" s="192">
        <f t="shared" si="1"/>
        <v>4659.15798</v>
      </c>
      <c r="Y7" s="190" t="s">
        <v>27</v>
      </c>
      <c r="Z7" s="398" t="s">
        <v>1984</v>
      </c>
      <c r="AA7" s="398" t="s">
        <v>27</v>
      </c>
      <c r="AB7" s="196" t="s">
        <v>24</v>
      </c>
      <c r="AC7" s="196" t="s">
        <v>1511</v>
      </c>
      <c r="AD7" s="196"/>
    </row>
    <row r="8" spans="1:30" ht="25.95" hidden="1" customHeight="1" x14ac:dyDescent="0.3">
      <c r="A8" s="196" t="s">
        <v>670</v>
      </c>
      <c r="B8" s="196" t="s">
        <v>1258</v>
      </c>
      <c r="C8" s="196" t="s">
        <v>1417</v>
      </c>
      <c r="D8" s="196" t="s">
        <v>1546</v>
      </c>
      <c r="E8" s="414"/>
      <c r="F8" s="413"/>
      <c r="G8" s="196" t="s">
        <v>1417</v>
      </c>
      <c r="H8" s="196" t="s">
        <v>1418</v>
      </c>
      <c r="I8" s="411">
        <v>45786</v>
      </c>
      <c r="J8" s="196" t="s">
        <v>73</v>
      </c>
      <c r="K8" s="196" t="s">
        <v>1246</v>
      </c>
      <c r="L8" s="196" t="s">
        <v>145</v>
      </c>
      <c r="M8" s="196" t="s">
        <v>1248</v>
      </c>
      <c r="N8" s="196" t="s">
        <v>1249</v>
      </c>
      <c r="O8" s="196" t="s">
        <v>1250</v>
      </c>
      <c r="P8" s="196" t="s">
        <v>25</v>
      </c>
      <c r="Q8" s="192">
        <v>1476.07</v>
      </c>
      <c r="R8" s="192">
        <f>Q8*0.15</f>
        <v>221.41049999999998</v>
      </c>
      <c r="S8" s="192" t="s">
        <v>26</v>
      </c>
      <c r="T8" s="192">
        <v>0</v>
      </c>
      <c r="U8" s="401"/>
      <c r="V8" s="192">
        <f>R8</f>
        <v>221.41049999999998</v>
      </c>
      <c r="W8" s="192">
        <f>R8*0.16</f>
        <v>35.42568</v>
      </c>
      <c r="X8" s="192">
        <f>V8+W8</f>
        <v>256.83618000000001</v>
      </c>
      <c r="Y8" s="190" t="s">
        <v>27</v>
      </c>
      <c r="Z8" s="398" t="s">
        <v>27</v>
      </c>
      <c r="AA8" s="398" t="s">
        <v>27</v>
      </c>
      <c r="AB8" s="196" t="s">
        <v>24</v>
      </c>
      <c r="AC8" s="196" t="s">
        <v>73</v>
      </c>
      <c r="AD8" s="196"/>
    </row>
    <row r="9" spans="1:30" ht="25.95" customHeight="1" x14ac:dyDescent="0.3">
      <c r="A9" s="196" t="s">
        <v>1326</v>
      </c>
      <c r="B9" s="196" t="s">
        <v>1327</v>
      </c>
      <c r="C9" s="415" t="s">
        <v>1656</v>
      </c>
      <c r="D9" s="196" t="s">
        <v>1547</v>
      </c>
      <c r="E9" s="196" t="s">
        <v>1250</v>
      </c>
      <c r="F9" s="196" t="s">
        <v>1250</v>
      </c>
      <c r="G9" s="196" t="s">
        <v>1565</v>
      </c>
      <c r="H9" s="196" t="s">
        <v>1852</v>
      </c>
      <c r="I9" s="411">
        <v>45455</v>
      </c>
      <c r="J9" s="196" t="s">
        <v>119</v>
      </c>
      <c r="K9" s="196" t="s">
        <v>1246</v>
      </c>
      <c r="L9" s="196" t="s">
        <v>71</v>
      </c>
      <c r="M9" s="196" t="s">
        <v>1248</v>
      </c>
      <c r="N9" s="196" t="s">
        <v>1249</v>
      </c>
      <c r="O9" s="196" t="s">
        <v>1250</v>
      </c>
      <c r="P9" s="196" t="s">
        <v>25</v>
      </c>
      <c r="Q9" s="192">
        <v>0</v>
      </c>
      <c r="R9" s="192">
        <v>0</v>
      </c>
      <c r="S9" s="196" t="s">
        <v>26</v>
      </c>
      <c r="T9" s="192">
        <v>0</v>
      </c>
      <c r="U9" s="196"/>
      <c r="V9" s="192">
        <v>0</v>
      </c>
      <c r="W9" s="192">
        <v>0</v>
      </c>
      <c r="X9" s="192">
        <v>0</v>
      </c>
      <c r="Y9" s="422" t="s">
        <v>761</v>
      </c>
      <c r="Z9" s="422" t="s">
        <v>761</v>
      </c>
      <c r="AA9" s="422" t="s">
        <v>761</v>
      </c>
      <c r="AB9" s="196" t="s">
        <v>24</v>
      </c>
      <c r="AC9" s="196"/>
      <c r="AD9" s="196"/>
    </row>
    <row r="10" spans="1:30" ht="25.95" hidden="1" customHeight="1" x14ac:dyDescent="0.3">
      <c r="A10" s="196" t="s">
        <v>1264</v>
      </c>
      <c r="B10" s="196" t="s">
        <v>1265</v>
      </c>
      <c r="C10" s="413" t="s">
        <v>1853</v>
      </c>
      <c r="D10" s="196" t="s">
        <v>1609</v>
      </c>
      <c r="E10" s="414" t="s">
        <v>1250</v>
      </c>
      <c r="F10" s="413" t="s">
        <v>1269</v>
      </c>
      <c r="G10" s="414" t="s">
        <v>1266</v>
      </c>
      <c r="H10" s="414" t="s">
        <v>1532</v>
      </c>
      <c r="I10" s="411">
        <v>45657</v>
      </c>
      <c r="J10" s="196" t="s">
        <v>223</v>
      </c>
      <c r="K10" s="196" t="s">
        <v>1246</v>
      </c>
      <c r="L10" s="196" t="s">
        <v>57</v>
      </c>
      <c r="M10" s="196" t="s">
        <v>1254</v>
      </c>
      <c r="N10" s="196" t="s">
        <v>1249</v>
      </c>
      <c r="O10" s="196" t="s">
        <v>46</v>
      </c>
      <c r="P10" s="196" t="s">
        <v>25</v>
      </c>
      <c r="Q10" s="192">
        <v>223135.06</v>
      </c>
      <c r="R10" s="192">
        <f>Q10*0.15</f>
        <v>33470.258999999998</v>
      </c>
      <c r="S10" s="192" t="s">
        <v>72</v>
      </c>
      <c r="T10" s="192">
        <f>R10*0.6</f>
        <v>20082.1554</v>
      </c>
      <c r="U10" s="425" t="s">
        <v>27</v>
      </c>
      <c r="V10" s="192">
        <f>R10*0.4</f>
        <v>13388.1036</v>
      </c>
      <c r="W10" s="192">
        <f t="shared" ref="W10:W16" si="2">R10*0.16</f>
        <v>5355.2414399999998</v>
      </c>
      <c r="X10" s="192">
        <f t="shared" ref="X10:X16" si="3">V10+W10</f>
        <v>18743.34504</v>
      </c>
      <c r="Y10" s="190" t="s">
        <v>27</v>
      </c>
      <c r="Z10" s="398" t="s">
        <v>27</v>
      </c>
      <c r="AA10" s="398" t="s">
        <v>27</v>
      </c>
      <c r="AB10" s="196" t="s">
        <v>46</v>
      </c>
      <c r="AC10" s="196" t="s">
        <v>44</v>
      </c>
      <c r="AD10" s="196"/>
    </row>
    <row r="11" spans="1:30" ht="25.95" hidden="1" customHeight="1" x14ac:dyDescent="0.3">
      <c r="A11" s="196" t="s">
        <v>51</v>
      </c>
      <c r="B11" s="196" t="s">
        <v>1237</v>
      </c>
      <c r="C11" s="413" t="s">
        <v>1662</v>
      </c>
      <c r="D11" s="196" t="s">
        <v>1693</v>
      </c>
      <c r="E11" s="414" t="s">
        <v>1250</v>
      </c>
      <c r="F11" s="413" t="s">
        <v>1250</v>
      </c>
      <c r="G11" s="431" t="s">
        <v>1250</v>
      </c>
      <c r="H11" s="431" t="s">
        <v>1250</v>
      </c>
      <c r="I11" s="432" t="s">
        <v>1250</v>
      </c>
      <c r="J11" s="196" t="s">
        <v>1250</v>
      </c>
      <c r="K11" s="196" t="s">
        <v>1246</v>
      </c>
      <c r="L11" s="196" t="s">
        <v>57</v>
      </c>
      <c r="M11" s="196" t="s">
        <v>1254</v>
      </c>
      <c r="N11" s="196" t="s">
        <v>1249</v>
      </c>
      <c r="O11" s="196" t="s">
        <v>46</v>
      </c>
      <c r="P11" s="196" t="s">
        <v>25</v>
      </c>
      <c r="Q11" s="192">
        <v>7580.53</v>
      </c>
      <c r="R11" s="192">
        <f>Q11*0.15</f>
        <v>1137.0794999999998</v>
      </c>
      <c r="S11" s="192" t="s">
        <v>72</v>
      </c>
      <c r="T11" s="192">
        <f>R11*0.6</f>
        <v>682.2476999999999</v>
      </c>
      <c r="U11" s="197" t="s">
        <v>340</v>
      </c>
      <c r="V11" s="192">
        <f>R11*0.4</f>
        <v>454.83179999999993</v>
      </c>
      <c r="W11" s="192">
        <f t="shared" si="2"/>
        <v>181.93271999999999</v>
      </c>
      <c r="X11" s="192">
        <f t="shared" si="3"/>
        <v>636.76451999999995</v>
      </c>
      <c r="Y11" s="190" t="s">
        <v>27</v>
      </c>
      <c r="Z11" s="398" t="s">
        <v>27</v>
      </c>
      <c r="AA11" s="398" t="s">
        <v>27</v>
      </c>
      <c r="AB11" s="196" t="s">
        <v>46</v>
      </c>
      <c r="AC11" s="196" t="s">
        <v>44</v>
      </c>
      <c r="AD11" s="196"/>
    </row>
    <row r="12" spans="1:30" ht="25.95" hidden="1" customHeight="1" x14ac:dyDescent="0.3">
      <c r="A12" s="196" t="s">
        <v>1267</v>
      </c>
      <c r="B12" s="196" t="s">
        <v>1268</v>
      </c>
      <c r="C12" s="413" t="s">
        <v>1655</v>
      </c>
      <c r="D12" s="196" t="s">
        <v>1547</v>
      </c>
      <c r="E12" s="414" t="s">
        <v>1854</v>
      </c>
      <c r="F12" s="413" t="s">
        <v>1269</v>
      </c>
      <c r="G12" s="439" t="s">
        <v>1270</v>
      </c>
      <c r="H12" s="439" t="s">
        <v>2035</v>
      </c>
      <c r="I12" s="411">
        <v>45713</v>
      </c>
      <c r="J12" s="196" t="s">
        <v>54</v>
      </c>
      <c r="K12" s="196" t="s">
        <v>1246</v>
      </c>
      <c r="L12" s="196" t="s">
        <v>57</v>
      </c>
      <c r="M12" s="196" t="s">
        <v>1271</v>
      </c>
      <c r="N12" s="196" t="s">
        <v>1249</v>
      </c>
      <c r="O12" s="196" t="s">
        <v>1272</v>
      </c>
      <c r="P12" s="196" t="s">
        <v>47</v>
      </c>
      <c r="Q12" s="192">
        <v>136064.73000000001</v>
      </c>
      <c r="R12" s="192">
        <f>Q12*0.15</f>
        <v>20409.709500000001</v>
      </c>
      <c r="S12" s="410" t="s">
        <v>1273</v>
      </c>
      <c r="T12" s="192">
        <f>R12*0.3333</f>
        <v>6802.55617635</v>
      </c>
      <c r="U12" s="197" t="s">
        <v>340</v>
      </c>
      <c r="V12" s="192">
        <f>R12*0.6667</f>
        <v>13607.15332365</v>
      </c>
      <c r="W12" s="192">
        <f t="shared" si="2"/>
        <v>3265.5535200000004</v>
      </c>
      <c r="X12" s="192">
        <f t="shared" si="3"/>
        <v>16872.706843650001</v>
      </c>
      <c r="Y12" s="190" t="s">
        <v>27</v>
      </c>
      <c r="Z12" s="398" t="s">
        <v>27</v>
      </c>
      <c r="AA12" s="398" t="s">
        <v>27</v>
      </c>
      <c r="AB12" s="196" t="s">
        <v>1274</v>
      </c>
      <c r="AC12" s="196" t="s">
        <v>28</v>
      </c>
      <c r="AD12" s="196"/>
    </row>
    <row r="13" spans="1:30" ht="25.95" hidden="1" customHeight="1" x14ac:dyDescent="0.3">
      <c r="A13" s="196" t="s">
        <v>1267</v>
      </c>
      <c r="B13" s="196" t="s">
        <v>1268</v>
      </c>
      <c r="C13" s="413" t="s">
        <v>1655</v>
      </c>
      <c r="D13" s="196" t="s">
        <v>1547</v>
      </c>
      <c r="E13" s="414" t="s">
        <v>1855</v>
      </c>
      <c r="F13" s="413" t="s">
        <v>1269</v>
      </c>
      <c r="G13" s="439" t="s">
        <v>1275</v>
      </c>
      <c r="H13" s="439" t="s">
        <v>2033</v>
      </c>
      <c r="I13" s="411">
        <v>45714</v>
      </c>
      <c r="J13" s="196" t="s">
        <v>54</v>
      </c>
      <c r="K13" s="196" t="s">
        <v>1246</v>
      </c>
      <c r="L13" s="196" t="s">
        <v>281</v>
      </c>
      <c r="M13" s="196" t="s">
        <v>1276</v>
      </c>
      <c r="N13" s="196" t="s">
        <v>1249</v>
      </c>
      <c r="O13" s="196" t="s">
        <v>1250</v>
      </c>
      <c r="P13" s="196" t="s">
        <v>47</v>
      </c>
      <c r="Q13" s="192">
        <v>341000.01</v>
      </c>
      <c r="R13" s="192">
        <f>Q13*0.12</f>
        <v>40920.001199999999</v>
      </c>
      <c r="S13" s="192" t="s">
        <v>26</v>
      </c>
      <c r="T13" s="192">
        <v>0</v>
      </c>
      <c r="U13" s="401"/>
      <c r="V13" s="192">
        <f>R13</f>
        <v>40920.001199999999</v>
      </c>
      <c r="W13" s="192">
        <f t="shared" si="2"/>
        <v>6547.2001920000002</v>
      </c>
      <c r="X13" s="192">
        <f t="shared" si="3"/>
        <v>47467.201392000003</v>
      </c>
      <c r="Y13" s="190" t="s">
        <v>27</v>
      </c>
      <c r="Z13" s="398" t="s">
        <v>27</v>
      </c>
      <c r="AA13" s="398" t="s">
        <v>27</v>
      </c>
      <c r="AB13" s="196" t="s">
        <v>1507</v>
      </c>
      <c r="AC13" s="196" t="s">
        <v>28</v>
      </c>
      <c r="AD13" s="196"/>
    </row>
    <row r="14" spans="1:30" ht="25.95" hidden="1" customHeight="1" x14ac:dyDescent="0.3">
      <c r="A14" s="196" t="s">
        <v>1277</v>
      </c>
      <c r="B14" s="197" t="s">
        <v>1278</v>
      </c>
      <c r="C14" s="413" t="s">
        <v>1516</v>
      </c>
      <c r="D14" s="196" t="s">
        <v>1547</v>
      </c>
      <c r="E14" s="414" t="s">
        <v>1856</v>
      </c>
      <c r="F14" s="413" t="s">
        <v>1269</v>
      </c>
      <c r="G14" s="414" t="s">
        <v>1279</v>
      </c>
      <c r="H14" s="414" t="s">
        <v>1857</v>
      </c>
      <c r="I14" s="411">
        <v>45708</v>
      </c>
      <c r="J14" s="196" t="s">
        <v>54</v>
      </c>
      <c r="K14" s="196" t="s">
        <v>1246</v>
      </c>
      <c r="L14" s="196" t="s">
        <v>57</v>
      </c>
      <c r="M14" s="196" t="s">
        <v>417</v>
      </c>
      <c r="N14" s="196" t="s">
        <v>1249</v>
      </c>
      <c r="O14" s="196" t="s">
        <v>1272</v>
      </c>
      <c r="P14" s="196" t="s">
        <v>47</v>
      </c>
      <c r="Q14" s="192">
        <v>591936.37</v>
      </c>
      <c r="R14" s="192">
        <f>Q14*0.2</f>
        <v>118387.274</v>
      </c>
      <c r="S14" s="410" t="s">
        <v>1273</v>
      </c>
      <c r="T14" s="192">
        <f>R14*0.5</f>
        <v>59193.637000000002</v>
      </c>
      <c r="U14" s="190" t="s">
        <v>27</v>
      </c>
      <c r="V14" s="192">
        <f>R14*0.5</f>
        <v>59193.637000000002</v>
      </c>
      <c r="W14" s="192">
        <f t="shared" si="2"/>
        <v>18941.96384</v>
      </c>
      <c r="X14" s="192">
        <f t="shared" si="3"/>
        <v>78135.600839999999</v>
      </c>
      <c r="Y14" s="190" t="s">
        <v>27</v>
      </c>
      <c r="Z14" s="398" t="s">
        <v>27</v>
      </c>
      <c r="AA14" s="398" t="s">
        <v>27</v>
      </c>
      <c r="AB14" s="196" t="s">
        <v>1506</v>
      </c>
      <c r="AC14" s="196" t="s">
        <v>28</v>
      </c>
      <c r="AD14" s="196"/>
    </row>
    <row r="15" spans="1:30" ht="25.95" hidden="1" customHeight="1" x14ac:dyDescent="0.3">
      <c r="A15" s="196" t="s">
        <v>1277</v>
      </c>
      <c r="B15" s="196" t="s">
        <v>1278</v>
      </c>
      <c r="C15" s="413" t="s">
        <v>1516</v>
      </c>
      <c r="D15" s="196" t="s">
        <v>1547</v>
      </c>
      <c r="E15" s="414" t="s">
        <v>1858</v>
      </c>
      <c r="F15" s="413" t="s">
        <v>1269</v>
      </c>
      <c r="G15" s="414" t="s">
        <v>1280</v>
      </c>
      <c r="H15" s="414" t="s">
        <v>1551</v>
      </c>
      <c r="I15" s="411">
        <v>45701</v>
      </c>
      <c r="J15" s="196" t="s">
        <v>54</v>
      </c>
      <c r="K15" s="196" t="s">
        <v>1246</v>
      </c>
      <c r="L15" s="196" t="s">
        <v>1281</v>
      </c>
      <c r="M15" s="196" t="s">
        <v>417</v>
      </c>
      <c r="N15" s="196" t="s">
        <v>1249</v>
      </c>
      <c r="O15" s="196" t="s">
        <v>1250</v>
      </c>
      <c r="P15" s="196" t="s">
        <v>47</v>
      </c>
      <c r="Q15" s="192">
        <v>65853.36</v>
      </c>
      <c r="R15" s="192">
        <f>Q15*0.12</f>
        <v>7902.4031999999997</v>
      </c>
      <c r="S15" s="192" t="s">
        <v>26</v>
      </c>
      <c r="T15" s="192">
        <v>0</v>
      </c>
      <c r="U15" s="401"/>
      <c r="V15" s="192">
        <f>R15</f>
        <v>7902.4031999999997</v>
      </c>
      <c r="W15" s="192">
        <f t="shared" si="2"/>
        <v>1264.3845120000001</v>
      </c>
      <c r="X15" s="192">
        <f t="shared" si="3"/>
        <v>9166.7877119999994</v>
      </c>
      <c r="Y15" s="190" t="s">
        <v>27</v>
      </c>
      <c r="Z15" s="398" t="s">
        <v>27</v>
      </c>
      <c r="AA15" s="398" t="s">
        <v>27</v>
      </c>
      <c r="AB15" s="196" t="s">
        <v>1505</v>
      </c>
      <c r="AC15" s="196" t="s">
        <v>28</v>
      </c>
      <c r="AD15" s="196"/>
    </row>
    <row r="16" spans="1:30" ht="25.95" hidden="1" customHeight="1" x14ac:dyDescent="0.3">
      <c r="A16" s="196" t="s">
        <v>1282</v>
      </c>
      <c r="B16" s="196" t="s">
        <v>1425</v>
      </c>
      <c r="C16" s="413" t="s">
        <v>1516</v>
      </c>
      <c r="D16" s="196" t="s">
        <v>1547</v>
      </c>
      <c r="E16" s="414" t="s">
        <v>1859</v>
      </c>
      <c r="F16" s="413" t="s">
        <v>1283</v>
      </c>
      <c r="G16" s="414" t="s">
        <v>1284</v>
      </c>
      <c r="H16" s="414" t="s">
        <v>1533</v>
      </c>
      <c r="I16" s="411">
        <v>45736</v>
      </c>
      <c r="J16" s="196" t="s">
        <v>28</v>
      </c>
      <c r="K16" s="196" t="s">
        <v>1246</v>
      </c>
      <c r="L16" s="196" t="s">
        <v>57</v>
      </c>
      <c r="M16" s="196" t="s">
        <v>1248</v>
      </c>
      <c r="N16" s="196" t="s">
        <v>1249</v>
      </c>
      <c r="O16" s="196" t="s">
        <v>1250</v>
      </c>
      <c r="P16" s="196" t="s">
        <v>25</v>
      </c>
      <c r="Q16" s="192">
        <v>94330.47</v>
      </c>
      <c r="R16" s="192">
        <f>Q16*0.15</f>
        <v>14149.5705</v>
      </c>
      <c r="S16" s="192" t="s">
        <v>26</v>
      </c>
      <c r="T16" s="192">
        <v>0</v>
      </c>
      <c r="U16" s="401"/>
      <c r="V16" s="192">
        <f>R16</f>
        <v>14149.5705</v>
      </c>
      <c r="W16" s="192">
        <f t="shared" si="2"/>
        <v>2263.9312800000002</v>
      </c>
      <c r="X16" s="192">
        <f t="shared" si="3"/>
        <v>16413.501779999999</v>
      </c>
      <c r="Y16" s="190" t="s">
        <v>27</v>
      </c>
      <c r="Z16" s="398" t="s">
        <v>27</v>
      </c>
      <c r="AA16" s="398" t="s">
        <v>27</v>
      </c>
      <c r="AB16" s="196" t="s">
        <v>24</v>
      </c>
      <c r="AC16" s="196" t="s">
        <v>99</v>
      </c>
      <c r="AD16" s="196"/>
    </row>
    <row r="17" spans="1:30" ht="25.95" hidden="1" customHeight="1" x14ac:dyDescent="0.3">
      <c r="A17" s="196" t="s">
        <v>999</v>
      </c>
      <c r="B17" s="196" t="s">
        <v>1201</v>
      </c>
      <c r="C17" s="413" t="s">
        <v>1860</v>
      </c>
      <c r="D17" s="196" t="s">
        <v>1609</v>
      </c>
      <c r="E17" s="414" t="s">
        <v>1861</v>
      </c>
      <c r="F17" s="413" t="s">
        <v>1544</v>
      </c>
      <c r="G17" s="414" t="s">
        <v>1287</v>
      </c>
      <c r="H17" s="414" t="s">
        <v>1552</v>
      </c>
      <c r="I17" s="411">
        <v>45589</v>
      </c>
      <c r="J17" s="196" t="s">
        <v>209</v>
      </c>
      <c r="K17" s="196" t="s">
        <v>1246</v>
      </c>
      <c r="L17" s="196" t="s">
        <v>57</v>
      </c>
      <c r="M17" s="196" t="s">
        <v>1288</v>
      </c>
      <c r="N17" s="196" t="s">
        <v>1249</v>
      </c>
      <c r="O17" s="196" t="s">
        <v>1289</v>
      </c>
      <c r="P17" s="196" t="s">
        <v>47</v>
      </c>
      <c r="Q17" s="192">
        <v>197614.9</v>
      </c>
      <c r="R17" s="192">
        <f>Q17*0.15</f>
        <v>29642.234999999997</v>
      </c>
      <c r="S17" s="192" t="s">
        <v>68</v>
      </c>
      <c r="T17" s="192">
        <f>R17*0.4</f>
        <v>11856.894</v>
      </c>
      <c r="U17" s="197" t="s">
        <v>340</v>
      </c>
      <c r="V17" s="192">
        <f>R17*0.6</f>
        <v>17785.340999999997</v>
      </c>
      <c r="W17" s="192">
        <f t="shared" ref="W17:W22" si="4">R17*0.16</f>
        <v>4742.7575999999999</v>
      </c>
      <c r="X17" s="192">
        <f t="shared" ref="X17:X22" si="5">V17+W17</f>
        <v>22528.098599999998</v>
      </c>
      <c r="Y17" s="190" t="s">
        <v>27</v>
      </c>
      <c r="Z17" s="398" t="s">
        <v>27</v>
      </c>
      <c r="AA17" s="398" t="s">
        <v>27</v>
      </c>
      <c r="AB17" s="196" t="s">
        <v>616</v>
      </c>
      <c r="AC17" s="196" t="s">
        <v>44</v>
      </c>
      <c r="AD17" s="196"/>
    </row>
    <row r="18" spans="1:30" ht="25.95" hidden="1" customHeight="1" x14ac:dyDescent="0.3">
      <c r="A18" s="196" t="s">
        <v>999</v>
      </c>
      <c r="B18" s="196" t="s">
        <v>1201</v>
      </c>
      <c r="C18" s="413" t="s">
        <v>1516</v>
      </c>
      <c r="D18" s="196" t="s">
        <v>1547</v>
      </c>
      <c r="E18" s="414" t="s">
        <v>1862</v>
      </c>
      <c r="F18" s="413" t="s">
        <v>1250</v>
      </c>
      <c r="G18" s="414" t="s">
        <v>1290</v>
      </c>
      <c r="H18" s="414" t="s">
        <v>1553</v>
      </c>
      <c r="I18" s="411">
        <v>45587</v>
      </c>
      <c r="J18" s="196" t="s">
        <v>209</v>
      </c>
      <c r="K18" s="196" t="s">
        <v>1246</v>
      </c>
      <c r="L18" s="196" t="s">
        <v>1291</v>
      </c>
      <c r="M18" s="196" t="s">
        <v>1288</v>
      </c>
      <c r="N18" s="196" t="s">
        <v>1249</v>
      </c>
      <c r="O18" s="196" t="s">
        <v>1250</v>
      </c>
      <c r="P18" s="196" t="s">
        <v>47</v>
      </c>
      <c r="Q18" s="192">
        <v>93287.67</v>
      </c>
      <c r="R18" s="192">
        <f>Q18*0.12</f>
        <v>11194.520399999999</v>
      </c>
      <c r="S18" s="192" t="s">
        <v>26</v>
      </c>
      <c r="T18" s="192">
        <v>0</v>
      </c>
      <c r="U18" s="401"/>
      <c r="V18" s="192">
        <f>R18</f>
        <v>11194.520399999999</v>
      </c>
      <c r="W18" s="192">
        <f t="shared" si="4"/>
        <v>1791.1232639999998</v>
      </c>
      <c r="X18" s="192">
        <f t="shared" si="5"/>
        <v>12985.643663999999</v>
      </c>
      <c r="Y18" s="190" t="s">
        <v>27</v>
      </c>
      <c r="Z18" s="398" t="s">
        <v>27</v>
      </c>
      <c r="AA18" s="398" t="s">
        <v>27</v>
      </c>
      <c r="AB18" s="196" t="s">
        <v>1508</v>
      </c>
      <c r="AC18" s="196" t="s">
        <v>44</v>
      </c>
      <c r="AD18" s="196"/>
    </row>
    <row r="19" spans="1:30" ht="25.95" hidden="1" customHeight="1" x14ac:dyDescent="0.3">
      <c r="A19" s="196" t="s">
        <v>1166</v>
      </c>
      <c r="B19" s="197" t="s">
        <v>1167</v>
      </c>
      <c r="C19" s="413" t="s">
        <v>1516</v>
      </c>
      <c r="D19" s="196" t="s">
        <v>1629</v>
      </c>
      <c r="E19" s="414" t="s">
        <v>1863</v>
      </c>
      <c r="F19" s="413" t="s">
        <v>1569</v>
      </c>
      <c r="G19" s="414" t="s">
        <v>1292</v>
      </c>
      <c r="H19" s="414" t="s">
        <v>1554</v>
      </c>
      <c r="I19" s="411">
        <v>45602</v>
      </c>
      <c r="J19" s="196" t="s">
        <v>217</v>
      </c>
      <c r="K19" s="196" t="s">
        <v>1246</v>
      </c>
      <c r="L19" s="196" t="s">
        <v>57</v>
      </c>
      <c r="M19" s="196" t="s">
        <v>417</v>
      </c>
      <c r="N19" s="196" t="s">
        <v>1249</v>
      </c>
      <c r="O19" s="196" t="s">
        <v>1272</v>
      </c>
      <c r="P19" s="196" t="s">
        <v>47</v>
      </c>
      <c r="Q19" s="192">
        <v>14715.03</v>
      </c>
      <c r="R19" s="192">
        <f>Q19*0.2</f>
        <v>2943.0060000000003</v>
      </c>
      <c r="S19" s="410" t="s">
        <v>1273</v>
      </c>
      <c r="T19" s="192">
        <f>R19*0.5</f>
        <v>1471.5030000000002</v>
      </c>
      <c r="U19" s="190" t="s">
        <v>27</v>
      </c>
      <c r="V19" s="192">
        <f>R19*0.5</f>
        <v>1471.5030000000002</v>
      </c>
      <c r="W19" s="192">
        <f t="shared" si="4"/>
        <v>470.88096000000007</v>
      </c>
      <c r="X19" s="192">
        <f t="shared" si="5"/>
        <v>1942.3839600000001</v>
      </c>
      <c r="Y19" s="190" t="s">
        <v>27</v>
      </c>
      <c r="Z19" s="398" t="s">
        <v>27</v>
      </c>
      <c r="AA19" s="398" t="s">
        <v>27</v>
      </c>
      <c r="AB19" s="196" t="s">
        <v>1506</v>
      </c>
      <c r="AC19" s="196" t="s">
        <v>44</v>
      </c>
      <c r="AD19" s="196"/>
    </row>
    <row r="20" spans="1:30" ht="25.95" hidden="1" customHeight="1" x14ac:dyDescent="0.3">
      <c r="A20" s="196" t="s">
        <v>974</v>
      </c>
      <c r="B20" s="196" t="s">
        <v>975</v>
      </c>
      <c r="C20" s="413" t="s">
        <v>1516</v>
      </c>
      <c r="D20" s="196" t="s">
        <v>1547</v>
      </c>
      <c r="E20" s="414" t="s">
        <v>1250</v>
      </c>
      <c r="F20" s="413" t="s">
        <v>1250</v>
      </c>
      <c r="G20" s="414" t="s">
        <v>978</v>
      </c>
      <c r="H20" s="414" t="s">
        <v>1426</v>
      </c>
      <c r="I20" s="411">
        <v>45456</v>
      </c>
      <c r="J20" s="196" t="s">
        <v>119</v>
      </c>
      <c r="K20" s="196" t="s">
        <v>1246</v>
      </c>
      <c r="L20" s="196" t="s">
        <v>57</v>
      </c>
      <c r="M20" s="196" t="s">
        <v>1254</v>
      </c>
      <c r="N20" s="196" t="s">
        <v>1249</v>
      </c>
      <c r="O20" s="196" t="s">
        <v>46</v>
      </c>
      <c r="P20" s="196" t="s">
        <v>25</v>
      </c>
      <c r="Q20" s="192">
        <v>892594.38</v>
      </c>
      <c r="R20" s="192">
        <f>Q20*0.15</f>
        <v>133889.15700000001</v>
      </c>
      <c r="S20" s="192" t="s">
        <v>72</v>
      </c>
      <c r="T20" s="192">
        <f>R20*0.6</f>
        <v>80333.494200000001</v>
      </c>
      <c r="U20" s="425" t="s">
        <v>27</v>
      </c>
      <c r="V20" s="192">
        <f>R20*0.4</f>
        <v>53555.662800000006</v>
      </c>
      <c r="W20" s="192">
        <f t="shared" si="4"/>
        <v>21422.26512</v>
      </c>
      <c r="X20" s="192">
        <f t="shared" si="5"/>
        <v>74977.927920000002</v>
      </c>
      <c r="Y20" s="190" t="s">
        <v>27</v>
      </c>
      <c r="Z20" s="398" t="s">
        <v>27</v>
      </c>
      <c r="AA20" s="398" t="s">
        <v>27</v>
      </c>
      <c r="AB20" s="196" t="s">
        <v>46</v>
      </c>
      <c r="AC20" s="196" t="s">
        <v>54</v>
      </c>
      <c r="AD20" s="196"/>
    </row>
    <row r="21" spans="1:30" ht="25.95" hidden="1" customHeight="1" x14ac:dyDescent="0.3">
      <c r="A21" s="196" t="s">
        <v>1166</v>
      </c>
      <c r="B21" s="196" t="s">
        <v>1167</v>
      </c>
      <c r="C21" s="413" t="s">
        <v>1516</v>
      </c>
      <c r="D21" s="196" t="s">
        <v>1547</v>
      </c>
      <c r="E21" s="414" t="s">
        <v>1864</v>
      </c>
      <c r="F21" s="413" t="s">
        <v>1569</v>
      </c>
      <c r="G21" s="414" t="s">
        <v>1170</v>
      </c>
      <c r="H21" s="414" t="s">
        <v>1555</v>
      </c>
      <c r="I21" s="411">
        <v>45593</v>
      </c>
      <c r="J21" s="196" t="s">
        <v>209</v>
      </c>
      <c r="K21" s="196" t="s">
        <v>1246</v>
      </c>
      <c r="L21" s="196" t="s">
        <v>1281</v>
      </c>
      <c r="M21" s="196" t="s">
        <v>417</v>
      </c>
      <c r="N21" s="196" t="s">
        <v>1249</v>
      </c>
      <c r="O21" s="196" t="s">
        <v>1250</v>
      </c>
      <c r="P21" s="196" t="s">
        <v>47</v>
      </c>
      <c r="Q21" s="192">
        <v>12602.74</v>
      </c>
      <c r="R21" s="192">
        <f>Q21*0.12</f>
        <v>1512.3288</v>
      </c>
      <c r="S21" s="192" t="s">
        <v>26</v>
      </c>
      <c r="T21" s="192">
        <v>0</v>
      </c>
      <c r="U21" s="401"/>
      <c r="V21" s="192">
        <f>R21</f>
        <v>1512.3288</v>
      </c>
      <c r="W21" s="192">
        <f t="shared" si="4"/>
        <v>241.97260800000001</v>
      </c>
      <c r="X21" s="192">
        <f t="shared" si="5"/>
        <v>1754.301408</v>
      </c>
      <c r="Y21" s="190" t="s">
        <v>27</v>
      </c>
      <c r="Z21" s="398" t="s">
        <v>27</v>
      </c>
      <c r="AA21" s="398" t="s">
        <v>27</v>
      </c>
      <c r="AB21" s="196" t="s">
        <v>1505</v>
      </c>
      <c r="AC21" s="196" t="s">
        <v>54</v>
      </c>
      <c r="AD21" s="196"/>
    </row>
    <row r="22" spans="1:30" ht="25.95" hidden="1" customHeight="1" x14ac:dyDescent="0.3">
      <c r="A22" s="196" t="s">
        <v>1176</v>
      </c>
      <c r="B22" s="196" t="s">
        <v>1210</v>
      </c>
      <c r="C22" s="413" t="s">
        <v>1516</v>
      </c>
      <c r="D22" s="196" t="s">
        <v>1547</v>
      </c>
      <c r="E22" s="414" t="s">
        <v>1250</v>
      </c>
      <c r="F22" s="413" t="s">
        <v>1427</v>
      </c>
      <c r="G22" s="414" t="s">
        <v>1212</v>
      </c>
      <c r="H22" s="414" t="s">
        <v>1865</v>
      </c>
      <c r="I22" s="411">
        <v>45625</v>
      </c>
      <c r="J22" s="196" t="s">
        <v>217</v>
      </c>
      <c r="K22" s="196" t="s">
        <v>1246</v>
      </c>
      <c r="L22" s="196" t="s">
        <v>1213</v>
      </c>
      <c r="M22" s="196" t="s">
        <v>1248</v>
      </c>
      <c r="N22" s="196" t="s">
        <v>1249</v>
      </c>
      <c r="O22" s="196" t="s">
        <v>1250</v>
      </c>
      <c r="P22" s="196" t="s">
        <v>47</v>
      </c>
      <c r="Q22" s="192">
        <f>473761.03-216078.17</f>
        <v>257682.86000000002</v>
      </c>
      <c r="R22" s="192">
        <f>Q22*0.15</f>
        <v>38652.429000000004</v>
      </c>
      <c r="S22" s="192" t="s">
        <v>26</v>
      </c>
      <c r="T22" s="192">
        <v>0</v>
      </c>
      <c r="U22" s="401"/>
      <c r="V22" s="192">
        <f>R22</f>
        <v>38652.429000000004</v>
      </c>
      <c r="W22" s="192">
        <f t="shared" si="4"/>
        <v>6184.388640000001</v>
      </c>
      <c r="X22" s="192">
        <f t="shared" si="5"/>
        <v>44836.817640000008</v>
      </c>
      <c r="Y22" s="190" t="s">
        <v>27</v>
      </c>
      <c r="Z22" s="398" t="s">
        <v>27</v>
      </c>
      <c r="AA22" s="398" t="s">
        <v>27</v>
      </c>
      <c r="AB22" s="196" t="s">
        <v>24</v>
      </c>
      <c r="AC22" s="196" t="s">
        <v>28</v>
      </c>
      <c r="AD22" s="196"/>
    </row>
    <row r="23" spans="1:30" ht="25.95" customHeight="1" x14ac:dyDescent="0.3">
      <c r="A23" s="196" t="s">
        <v>1351</v>
      </c>
      <c r="B23" s="196" t="s">
        <v>1352</v>
      </c>
      <c r="C23" s="196" t="s">
        <v>1772</v>
      </c>
      <c r="D23" s="196" t="s">
        <v>1547</v>
      </c>
      <c r="E23" s="196" t="s">
        <v>1866</v>
      </c>
      <c r="F23" s="196" t="s">
        <v>1571</v>
      </c>
      <c r="G23" s="196" t="s">
        <v>1149</v>
      </c>
      <c r="H23" s="196" t="s">
        <v>1867</v>
      </c>
      <c r="I23" s="411">
        <v>45645</v>
      </c>
      <c r="J23" s="196" t="s">
        <v>223</v>
      </c>
      <c r="K23" s="196" t="s">
        <v>1246</v>
      </c>
      <c r="L23" s="196" t="s">
        <v>57</v>
      </c>
      <c r="M23" s="196" t="s">
        <v>1248</v>
      </c>
      <c r="N23" s="196" t="s">
        <v>1249</v>
      </c>
      <c r="O23" s="196"/>
      <c r="P23" s="196" t="s">
        <v>25</v>
      </c>
      <c r="Q23" s="192">
        <v>0</v>
      </c>
      <c r="R23" s="192">
        <f>Q23*0.15</f>
        <v>0</v>
      </c>
      <c r="S23" s="196" t="s">
        <v>26</v>
      </c>
      <c r="T23" s="192">
        <v>0</v>
      </c>
      <c r="U23" s="196"/>
      <c r="V23" s="192">
        <v>0</v>
      </c>
      <c r="W23" s="192">
        <v>0</v>
      </c>
      <c r="X23" s="192">
        <v>0</v>
      </c>
      <c r="Y23" s="422" t="s">
        <v>761</v>
      </c>
      <c r="Z23" s="422" t="s">
        <v>761</v>
      </c>
      <c r="AA23" s="422" t="s">
        <v>761</v>
      </c>
      <c r="AB23" s="196" t="s">
        <v>155</v>
      </c>
      <c r="AC23" s="196"/>
      <c r="AD23" s="196"/>
    </row>
    <row r="24" spans="1:30" ht="25.95" hidden="1" customHeight="1" x14ac:dyDescent="0.3">
      <c r="A24" s="196" t="s">
        <v>1102</v>
      </c>
      <c r="B24" s="196" t="s">
        <v>1220</v>
      </c>
      <c r="C24" s="413" t="s">
        <v>1516</v>
      </c>
      <c r="D24" s="196" t="s">
        <v>1547</v>
      </c>
      <c r="E24" s="414" t="s">
        <v>1868</v>
      </c>
      <c r="F24" s="413" t="s">
        <v>1612</v>
      </c>
      <c r="G24" s="414" t="s">
        <v>1223</v>
      </c>
      <c r="H24" s="414" t="s">
        <v>1428</v>
      </c>
      <c r="I24" s="411">
        <v>45649</v>
      </c>
      <c r="J24" s="196" t="s">
        <v>223</v>
      </c>
      <c r="K24" s="196" t="s">
        <v>1246</v>
      </c>
      <c r="L24" s="196" t="s">
        <v>57</v>
      </c>
      <c r="M24" s="196" t="s">
        <v>1254</v>
      </c>
      <c r="N24" s="196" t="s">
        <v>1249</v>
      </c>
      <c r="O24" s="196" t="s">
        <v>46</v>
      </c>
      <c r="P24" s="196" t="s">
        <v>25</v>
      </c>
      <c r="Q24" s="192">
        <v>1263160.6599999999</v>
      </c>
      <c r="R24" s="192">
        <v>166267.96</v>
      </c>
      <c r="S24" s="192" t="s">
        <v>72</v>
      </c>
      <c r="T24" s="192">
        <f>R24*0.5</f>
        <v>83133.98</v>
      </c>
      <c r="U24" s="401"/>
      <c r="V24" s="192">
        <f>R24*0.5</f>
        <v>83133.98</v>
      </c>
      <c r="W24" s="192">
        <f t="shared" ref="W24:W32" si="6">R24*0.16</f>
        <v>26602.873599999999</v>
      </c>
      <c r="X24" s="192">
        <f t="shared" ref="X24:X29" si="7">V24+W24</f>
        <v>109736.8536</v>
      </c>
      <c r="Y24" s="190" t="s">
        <v>27</v>
      </c>
      <c r="Z24" s="398" t="s">
        <v>27</v>
      </c>
      <c r="AA24" s="398" t="s">
        <v>27</v>
      </c>
      <c r="AB24" s="196" t="s">
        <v>1293</v>
      </c>
      <c r="AC24" s="196" t="s">
        <v>84</v>
      </c>
      <c r="AD24" s="196"/>
    </row>
    <row r="25" spans="1:30" ht="25.95" hidden="1" customHeight="1" x14ac:dyDescent="0.3">
      <c r="A25" s="196" t="s">
        <v>1102</v>
      </c>
      <c r="B25" s="196" t="s">
        <v>1220</v>
      </c>
      <c r="C25" s="413" t="s">
        <v>1516</v>
      </c>
      <c r="D25" s="196" t="s">
        <v>1547</v>
      </c>
      <c r="E25" s="414" t="s">
        <v>1250</v>
      </c>
      <c r="F25" s="413" t="s">
        <v>1250</v>
      </c>
      <c r="G25" s="414" t="s">
        <v>1294</v>
      </c>
      <c r="H25" s="414" t="s">
        <v>1428</v>
      </c>
      <c r="I25" s="411">
        <v>45646</v>
      </c>
      <c r="J25" s="196" t="s">
        <v>223</v>
      </c>
      <c r="K25" s="196" t="s">
        <v>1246</v>
      </c>
      <c r="L25" s="196" t="s">
        <v>906</v>
      </c>
      <c r="M25" s="196" t="s">
        <v>1254</v>
      </c>
      <c r="N25" s="196" t="s">
        <v>1249</v>
      </c>
      <c r="O25" s="196" t="s">
        <v>46</v>
      </c>
      <c r="P25" s="196" t="s">
        <v>25</v>
      </c>
      <c r="Q25" s="192">
        <v>71246.759999999995</v>
      </c>
      <c r="R25" s="192">
        <f>Q25*0.18</f>
        <v>12824.416799999999</v>
      </c>
      <c r="S25" s="192" t="s">
        <v>72</v>
      </c>
      <c r="T25" s="192">
        <f>R25*50%</f>
        <v>6412.2083999999995</v>
      </c>
      <c r="U25" s="401"/>
      <c r="V25" s="192">
        <f>R25*0.5</f>
        <v>6412.2083999999995</v>
      </c>
      <c r="W25" s="192">
        <f t="shared" si="6"/>
        <v>2051.906688</v>
      </c>
      <c r="X25" s="192">
        <f t="shared" si="7"/>
        <v>8464.1150879999987</v>
      </c>
      <c r="Y25" s="190" t="s">
        <v>27</v>
      </c>
      <c r="Z25" s="398" t="s">
        <v>27</v>
      </c>
      <c r="AA25" s="398" t="s">
        <v>27</v>
      </c>
      <c r="AB25" s="196" t="s">
        <v>1293</v>
      </c>
      <c r="AC25" s="196" t="s">
        <v>54</v>
      </c>
      <c r="AD25" s="196"/>
    </row>
    <row r="26" spans="1:30" ht="25.95" hidden="1" customHeight="1" x14ac:dyDescent="0.3">
      <c r="A26" s="196" t="s">
        <v>1429</v>
      </c>
      <c r="B26" s="196" t="s">
        <v>1231</v>
      </c>
      <c r="C26" s="413" t="s">
        <v>1869</v>
      </c>
      <c r="D26" s="196" t="s">
        <v>1609</v>
      </c>
      <c r="E26" s="414" t="s">
        <v>1870</v>
      </c>
      <c r="F26" s="413" t="s">
        <v>1871</v>
      </c>
      <c r="G26" s="414" t="s">
        <v>1234</v>
      </c>
      <c r="H26" s="414" t="s">
        <v>1534</v>
      </c>
      <c r="I26" s="411">
        <v>45657</v>
      </c>
      <c r="J26" s="196" t="s">
        <v>223</v>
      </c>
      <c r="K26" s="196" t="s">
        <v>1246</v>
      </c>
      <c r="L26" s="196" t="s">
        <v>57</v>
      </c>
      <c r="M26" s="196" t="s">
        <v>1248</v>
      </c>
      <c r="N26" s="196" t="s">
        <v>1249</v>
      </c>
      <c r="O26" s="196" t="s">
        <v>1250</v>
      </c>
      <c r="P26" s="196" t="s">
        <v>25</v>
      </c>
      <c r="Q26" s="192">
        <v>305025.88</v>
      </c>
      <c r="R26" s="192">
        <f>Q26*0.15</f>
        <v>45753.881999999998</v>
      </c>
      <c r="S26" s="192" t="s">
        <v>26</v>
      </c>
      <c r="T26" s="192">
        <v>0</v>
      </c>
      <c r="U26" s="401"/>
      <c r="V26" s="192">
        <f t="shared" ref="V26:V32" si="8">R26</f>
        <v>45753.881999999998</v>
      </c>
      <c r="W26" s="192">
        <f t="shared" si="6"/>
        <v>7320.6211199999998</v>
      </c>
      <c r="X26" s="192">
        <f t="shared" si="7"/>
        <v>53074.503119999994</v>
      </c>
      <c r="Y26" s="190" t="s">
        <v>27</v>
      </c>
      <c r="Z26" s="398" t="s">
        <v>27</v>
      </c>
      <c r="AA26" s="398" t="s">
        <v>106</v>
      </c>
      <c r="AB26" s="196" t="s">
        <v>24</v>
      </c>
      <c r="AC26" s="196" t="s">
        <v>54</v>
      </c>
      <c r="AD26" s="196"/>
    </row>
    <row r="27" spans="1:30" ht="25.95" hidden="1" customHeight="1" x14ac:dyDescent="0.3">
      <c r="A27" s="196" t="s">
        <v>1295</v>
      </c>
      <c r="B27" s="196" t="s">
        <v>1296</v>
      </c>
      <c r="C27" s="413" t="s">
        <v>1516</v>
      </c>
      <c r="D27" s="196" t="s">
        <v>1547</v>
      </c>
      <c r="E27" s="414" t="s">
        <v>1250</v>
      </c>
      <c r="F27" s="413" t="s">
        <v>1250</v>
      </c>
      <c r="G27" s="414" t="s">
        <v>1297</v>
      </c>
      <c r="H27" s="414" t="s">
        <v>1872</v>
      </c>
      <c r="I27" s="411">
        <v>45707</v>
      </c>
      <c r="J27" s="196" t="s">
        <v>54</v>
      </c>
      <c r="K27" s="196" t="s">
        <v>1246</v>
      </c>
      <c r="L27" s="196" t="s">
        <v>57</v>
      </c>
      <c r="M27" s="196" t="s">
        <v>1248</v>
      </c>
      <c r="N27" s="196" t="s">
        <v>1249</v>
      </c>
      <c r="O27" s="196" t="s">
        <v>1250</v>
      </c>
      <c r="P27" s="196" t="s">
        <v>25</v>
      </c>
      <c r="Q27" s="192">
        <v>196411.8</v>
      </c>
      <c r="R27" s="192">
        <f>Q27*0.15</f>
        <v>29461.769999999997</v>
      </c>
      <c r="S27" s="192" t="s">
        <v>26</v>
      </c>
      <c r="T27" s="192">
        <v>0</v>
      </c>
      <c r="U27" s="401"/>
      <c r="V27" s="192">
        <f t="shared" si="8"/>
        <v>29461.769999999997</v>
      </c>
      <c r="W27" s="192">
        <f t="shared" si="6"/>
        <v>4713.8831999999993</v>
      </c>
      <c r="X27" s="192">
        <f t="shared" si="7"/>
        <v>34175.653199999993</v>
      </c>
      <c r="Y27" s="190" t="s">
        <v>27</v>
      </c>
      <c r="Z27" s="398" t="s">
        <v>27</v>
      </c>
      <c r="AA27" s="398" t="s">
        <v>27</v>
      </c>
      <c r="AB27" s="196" t="s">
        <v>24</v>
      </c>
      <c r="AC27" s="196" t="s">
        <v>28</v>
      </c>
      <c r="AD27" s="196"/>
    </row>
    <row r="28" spans="1:30" ht="25.95" hidden="1" customHeight="1" x14ac:dyDescent="0.3">
      <c r="A28" s="196" t="s">
        <v>1295</v>
      </c>
      <c r="B28" s="196" t="s">
        <v>1296</v>
      </c>
      <c r="C28" s="413" t="s">
        <v>1516</v>
      </c>
      <c r="D28" s="196" t="s">
        <v>1547</v>
      </c>
      <c r="E28" s="414" t="s">
        <v>1250</v>
      </c>
      <c r="F28" s="413" t="s">
        <v>1250</v>
      </c>
      <c r="G28" s="414" t="s">
        <v>1298</v>
      </c>
      <c r="H28" s="414" t="s">
        <v>1872</v>
      </c>
      <c r="I28" s="411">
        <v>45707</v>
      </c>
      <c r="J28" s="196" t="s">
        <v>54</v>
      </c>
      <c r="K28" s="196" t="s">
        <v>1246</v>
      </c>
      <c r="L28" s="196" t="s">
        <v>906</v>
      </c>
      <c r="M28" s="196" t="s">
        <v>1248</v>
      </c>
      <c r="N28" s="196" t="s">
        <v>1249</v>
      </c>
      <c r="O28" s="196" t="s">
        <v>1250</v>
      </c>
      <c r="P28" s="196" t="s">
        <v>25</v>
      </c>
      <c r="Q28" s="192">
        <v>95192.55</v>
      </c>
      <c r="R28" s="192">
        <f>Q28*0.18</f>
        <v>17134.659</v>
      </c>
      <c r="S28" s="192" t="s">
        <v>26</v>
      </c>
      <c r="T28" s="192">
        <v>0</v>
      </c>
      <c r="U28" s="401"/>
      <c r="V28" s="192">
        <f t="shared" si="8"/>
        <v>17134.659</v>
      </c>
      <c r="W28" s="192">
        <f t="shared" si="6"/>
        <v>2741.5454399999999</v>
      </c>
      <c r="X28" s="192">
        <f t="shared" si="7"/>
        <v>19876.204440000001</v>
      </c>
      <c r="Y28" s="190" t="s">
        <v>27</v>
      </c>
      <c r="Z28" s="398" t="s">
        <v>27</v>
      </c>
      <c r="AA28" s="398" t="s">
        <v>27</v>
      </c>
      <c r="AB28" s="196" t="s">
        <v>24</v>
      </c>
      <c r="AC28" s="196" t="s">
        <v>28</v>
      </c>
      <c r="AD28" s="196"/>
    </row>
    <row r="29" spans="1:30" ht="25.95" hidden="1" customHeight="1" x14ac:dyDescent="0.3">
      <c r="A29" s="196" t="s">
        <v>249</v>
      </c>
      <c r="B29" s="196" t="s">
        <v>1299</v>
      </c>
      <c r="C29" s="413" t="s">
        <v>1619</v>
      </c>
      <c r="D29" s="196" t="s">
        <v>1547</v>
      </c>
      <c r="E29" s="414" t="s">
        <v>1873</v>
      </c>
      <c r="F29" s="413" t="s">
        <v>1304</v>
      </c>
      <c r="G29" s="414" t="s">
        <v>1300</v>
      </c>
      <c r="H29" s="414" t="s">
        <v>1535</v>
      </c>
      <c r="I29" s="411">
        <v>45742</v>
      </c>
      <c r="J29" s="196" t="s">
        <v>28</v>
      </c>
      <c r="K29" s="196" t="s">
        <v>1246</v>
      </c>
      <c r="L29" s="196" t="s">
        <v>57</v>
      </c>
      <c r="M29" s="196" t="s">
        <v>1248</v>
      </c>
      <c r="N29" s="196" t="s">
        <v>1249</v>
      </c>
      <c r="O29" s="196" t="s">
        <v>1250</v>
      </c>
      <c r="P29" s="196" t="s">
        <v>25</v>
      </c>
      <c r="Q29" s="192">
        <v>2643301</v>
      </c>
      <c r="R29" s="192">
        <f>Q29*0.15</f>
        <v>396495.14999999997</v>
      </c>
      <c r="S29" s="192" t="s">
        <v>26</v>
      </c>
      <c r="T29" s="192">
        <v>0</v>
      </c>
      <c r="U29" s="401"/>
      <c r="V29" s="192">
        <f t="shared" si="8"/>
        <v>396495.14999999997</v>
      </c>
      <c r="W29" s="192">
        <f t="shared" si="6"/>
        <v>63439.223999999995</v>
      </c>
      <c r="X29" s="192">
        <f t="shared" si="7"/>
        <v>459934.37399999995</v>
      </c>
      <c r="Y29" s="190" t="s">
        <v>27</v>
      </c>
      <c r="Z29" s="398" t="s">
        <v>27</v>
      </c>
      <c r="AA29" s="398" t="s">
        <v>27</v>
      </c>
      <c r="AB29" s="196" t="s">
        <v>24</v>
      </c>
      <c r="AC29" s="196" t="s">
        <v>99</v>
      </c>
      <c r="AD29" s="196"/>
    </row>
    <row r="30" spans="1:30" ht="25.95" hidden="1" customHeight="1" x14ac:dyDescent="0.3">
      <c r="A30" s="196" t="s">
        <v>999</v>
      </c>
      <c r="B30" s="196" t="s">
        <v>1285</v>
      </c>
      <c r="C30" s="413" t="s">
        <v>1516</v>
      </c>
      <c r="D30" s="196" t="s">
        <v>1547</v>
      </c>
      <c r="E30" s="414" t="s">
        <v>1250</v>
      </c>
      <c r="F30" s="413" t="s">
        <v>1250</v>
      </c>
      <c r="G30" s="414" t="s">
        <v>1286</v>
      </c>
      <c r="H30" s="414" t="s">
        <v>1865</v>
      </c>
      <c r="I30" s="411">
        <v>45687</v>
      </c>
      <c r="J30" s="196" t="s">
        <v>44</v>
      </c>
      <c r="K30" s="196" t="s">
        <v>1246</v>
      </c>
      <c r="L30" s="196" t="s">
        <v>71</v>
      </c>
      <c r="M30" s="196" t="s">
        <v>1248</v>
      </c>
      <c r="N30" s="196" t="s">
        <v>1249</v>
      </c>
      <c r="O30" s="196" t="s">
        <v>1250</v>
      </c>
      <c r="P30" s="196" t="s">
        <v>315</v>
      </c>
      <c r="Q30" s="192">
        <v>199928</v>
      </c>
      <c r="R30" s="192">
        <f>Q30*0.15</f>
        <v>29989.199999999997</v>
      </c>
      <c r="S30" s="192" t="s">
        <v>26</v>
      </c>
      <c r="T30" s="192">
        <v>0</v>
      </c>
      <c r="U30" s="401"/>
      <c r="V30" s="192">
        <f t="shared" si="8"/>
        <v>29989.199999999997</v>
      </c>
      <c r="W30" s="192">
        <f t="shared" si="6"/>
        <v>4798.2719999999999</v>
      </c>
      <c r="X30" s="192">
        <f>R30+W30</f>
        <v>34787.471999999994</v>
      </c>
      <c r="Y30" s="190" t="s">
        <v>1792</v>
      </c>
      <c r="Z30" s="398" t="s">
        <v>1987</v>
      </c>
      <c r="AA30" s="398" t="s">
        <v>27</v>
      </c>
      <c r="AB30" s="196" t="s">
        <v>24</v>
      </c>
      <c r="AC30" s="196" t="s">
        <v>144</v>
      </c>
      <c r="AD30" s="196" t="s">
        <v>1804</v>
      </c>
    </row>
    <row r="31" spans="1:30" ht="25.95" hidden="1" customHeight="1" x14ac:dyDescent="0.3">
      <c r="A31" s="196" t="s">
        <v>670</v>
      </c>
      <c r="B31" s="196" t="s">
        <v>1405</v>
      </c>
      <c r="C31" s="413" t="s">
        <v>1874</v>
      </c>
      <c r="D31" s="196" t="s">
        <v>1609</v>
      </c>
      <c r="E31" s="414" t="s">
        <v>1250</v>
      </c>
      <c r="F31" s="413" t="s">
        <v>1250</v>
      </c>
      <c r="G31" s="414" t="s">
        <v>1261</v>
      </c>
      <c r="H31" s="414" t="s">
        <v>1875</v>
      </c>
      <c r="I31" s="411">
        <v>45688</v>
      </c>
      <c r="J31" s="196" t="s">
        <v>44</v>
      </c>
      <c r="K31" s="196" t="s">
        <v>1246</v>
      </c>
      <c r="L31" s="196" t="s">
        <v>53</v>
      </c>
      <c r="M31" s="196" t="s">
        <v>1248</v>
      </c>
      <c r="N31" s="196" t="s">
        <v>1249</v>
      </c>
      <c r="O31" s="196" t="s">
        <v>1250</v>
      </c>
      <c r="P31" s="196" t="s">
        <v>25</v>
      </c>
      <c r="Q31" s="192">
        <v>58799.360000000001</v>
      </c>
      <c r="R31" s="192">
        <f>Q31*0.18</f>
        <v>10583.8848</v>
      </c>
      <c r="S31" s="192" t="s">
        <v>26</v>
      </c>
      <c r="T31" s="192">
        <v>0</v>
      </c>
      <c r="U31" s="401"/>
      <c r="V31" s="192">
        <f t="shared" si="8"/>
        <v>10583.8848</v>
      </c>
      <c r="W31" s="192">
        <f t="shared" si="6"/>
        <v>1693.421568</v>
      </c>
      <c r="X31" s="192">
        <f>V31+W31</f>
        <v>12277.306368</v>
      </c>
      <c r="Y31" s="190" t="s">
        <v>27</v>
      </c>
      <c r="Z31" s="398" t="s">
        <v>1990</v>
      </c>
      <c r="AA31" s="398" t="s">
        <v>27</v>
      </c>
      <c r="AB31" s="196" t="s">
        <v>24</v>
      </c>
      <c r="AC31" s="196" t="s">
        <v>144</v>
      </c>
      <c r="AD31" s="196"/>
    </row>
    <row r="32" spans="1:30" ht="25.95" hidden="1" customHeight="1" x14ac:dyDescent="0.3">
      <c r="A32" s="196" t="s">
        <v>91</v>
      </c>
      <c r="B32" s="196" t="s">
        <v>1216</v>
      </c>
      <c r="C32" s="413" t="s">
        <v>1876</v>
      </c>
      <c r="D32" s="196" t="s">
        <v>1609</v>
      </c>
      <c r="E32" s="414" t="s">
        <v>1250</v>
      </c>
      <c r="F32" s="413" t="s">
        <v>1250</v>
      </c>
      <c r="G32" s="414" t="s">
        <v>1219</v>
      </c>
      <c r="H32" s="414" t="s">
        <v>1432</v>
      </c>
      <c r="I32" s="411">
        <v>45639</v>
      </c>
      <c r="J32" s="196" t="s">
        <v>223</v>
      </c>
      <c r="K32" s="196" t="s">
        <v>1246</v>
      </c>
      <c r="L32" s="196" t="s">
        <v>57</v>
      </c>
      <c r="M32" s="196" t="s">
        <v>1248</v>
      </c>
      <c r="N32" s="196" t="s">
        <v>1249</v>
      </c>
      <c r="O32" s="196" t="s">
        <v>1250</v>
      </c>
      <c r="P32" s="196" t="s">
        <v>25</v>
      </c>
      <c r="Q32" s="192">
        <v>150000</v>
      </c>
      <c r="R32" s="192">
        <f>Q32*0.15</f>
        <v>22500</v>
      </c>
      <c r="S32" s="192" t="s">
        <v>26</v>
      </c>
      <c r="T32" s="192">
        <v>0</v>
      </c>
      <c r="U32" s="401"/>
      <c r="V32" s="192">
        <f t="shared" si="8"/>
        <v>22500</v>
      </c>
      <c r="W32" s="192">
        <f t="shared" si="6"/>
        <v>3600</v>
      </c>
      <c r="X32" s="192">
        <f>V32+W32</f>
        <v>26100</v>
      </c>
      <c r="Y32" s="190" t="s">
        <v>27</v>
      </c>
      <c r="Z32" s="398" t="s">
        <v>27</v>
      </c>
      <c r="AA32" s="398" t="s">
        <v>27</v>
      </c>
      <c r="AB32" s="196" t="s">
        <v>24</v>
      </c>
      <c r="AC32" s="196" t="s">
        <v>44</v>
      </c>
      <c r="AD32" s="196"/>
    </row>
    <row r="33" spans="1:30" ht="25.95" hidden="1" customHeight="1" x14ac:dyDescent="0.3">
      <c r="A33" s="196" t="s">
        <v>1227</v>
      </c>
      <c r="B33" s="196" t="s">
        <v>558</v>
      </c>
      <c r="C33" s="413" t="s">
        <v>1877</v>
      </c>
      <c r="D33" s="196" t="s">
        <v>1609</v>
      </c>
      <c r="E33" s="414" t="s">
        <v>1250</v>
      </c>
      <c r="F33" s="413" t="s">
        <v>1250</v>
      </c>
      <c r="G33" s="414" t="s">
        <v>2013</v>
      </c>
      <c r="H33" s="414" t="s">
        <v>1433</v>
      </c>
      <c r="I33" s="411">
        <v>45638</v>
      </c>
      <c r="J33" s="196" t="s">
        <v>223</v>
      </c>
      <c r="K33" s="196" t="s">
        <v>1246</v>
      </c>
      <c r="L33" s="196" t="s">
        <v>57</v>
      </c>
      <c r="M33" s="196" t="s">
        <v>1248</v>
      </c>
      <c r="N33" s="196" t="s">
        <v>1249</v>
      </c>
      <c r="O33" s="196" t="s">
        <v>1250</v>
      </c>
      <c r="P33" s="196" t="s">
        <v>25</v>
      </c>
      <c r="Q33" s="192">
        <v>2519.11</v>
      </c>
      <c r="R33" s="192">
        <v>377.92</v>
      </c>
      <c r="S33" s="196" t="s">
        <v>26</v>
      </c>
      <c r="T33" s="192">
        <v>0</v>
      </c>
      <c r="U33" s="401"/>
      <c r="V33" s="192">
        <f>R33</f>
        <v>377.92</v>
      </c>
      <c r="W33" s="192">
        <f t="shared" ref="W33:W46" si="9">R33*0.16</f>
        <v>60.467200000000005</v>
      </c>
      <c r="X33" s="192">
        <f>V33+W33</f>
        <v>438.38720000000001</v>
      </c>
      <c r="Y33" s="190" t="s">
        <v>27</v>
      </c>
      <c r="Z33" s="398" t="s">
        <v>27</v>
      </c>
      <c r="AA33" s="398" t="s">
        <v>27</v>
      </c>
      <c r="AB33" s="196" t="s">
        <v>24</v>
      </c>
      <c r="AC33" s="196" t="s">
        <v>44</v>
      </c>
      <c r="AD33" s="196"/>
    </row>
    <row r="34" spans="1:30" ht="25.95" hidden="1" customHeight="1" x14ac:dyDescent="0.3">
      <c r="A34" s="196" t="s">
        <v>1134</v>
      </c>
      <c r="B34" s="196" t="s">
        <v>1135</v>
      </c>
      <c r="C34" s="413" t="s">
        <v>1516</v>
      </c>
      <c r="D34" s="196" t="s">
        <v>1547</v>
      </c>
      <c r="E34" s="414" t="s">
        <v>1845</v>
      </c>
      <c r="F34" s="413" t="s">
        <v>1250</v>
      </c>
      <c r="G34" s="414" t="s">
        <v>1255</v>
      </c>
      <c r="H34" s="414" t="s">
        <v>1878</v>
      </c>
      <c r="I34" s="411">
        <v>45714</v>
      </c>
      <c r="J34" s="196" t="s">
        <v>54</v>
      </c>
      <c r="K34" s="196" t="s">
        <v>1246</v>
      </c>
      <c r="L34" s="196" t="s">
        <v>71</v>
      </c>
      <c r="M34" s="196" t="s">
        <v>1254</v>
      </c>
      <c r="N34" s="196" t="s">
        <v>1249</v>
      </c>
      <c r="O34" s="196" t="s">
        <v>46</v>
      </c>
      <c r="P34" s="196" t="s">
        <v>315</v>
      </c>
      <c r="Q34" s="192">
        <v>357142.8</v>
      </c>
      <c r="R34" s="192">
        <v>54329.440000000002</v>
      </c>
      <c r="S34" s="192" t="s">
        <v>72</v>
      </c>
      <c r="T34" s="192">
        <f>R34*0.6</f>
        <v>32597.664000000001</v>
      </c>
      <c r="U34" s="425" t="s">
        <v>27</v>
      </c>
      <c r="V34" s="192">
        <f>R34*0.4</f>
        <v>21731.776000000002</v>
      </c>
      <c r="W34" s="192">
        <f t="shared" si="9"/>
        <v>8692.7103999999999</v>
      </c>
      <c r="X34" s="192">
        <f>V34+W34</f>
        <v>30424.486400000002</v>
      </c>
      <c r="Y34" s="190" t="s">
        <v>27</v>
      </c>
      <c r="Z34" s="398" t="s">
        <v>1989</v>
      </c>
      <c r="AA34" s="398" t="s">
        <v>27</v>
      </c>
      <c r="AB34" s="196" t="s">
        <v>46</v>
      </c>
      <c r="AC34" s="196" t="s">
        <v>28</v>
      </c>
      <c r="AD34" s="404"/>
    </row>
    <row r="35" spans="1:30" ht="25.95" customHeight="1" x14ac:dyDescent="0.3">
      <c r="A35" s="196" t="s">
        <v>1301</v>
      </c>
      <c r="B35" s="196" t="s">
        <v>1302</v>
      </c>
      <c r="C35" s="196" t="s">
        <v>1751</v>
      </c>
      <c r="D35" s="196" t="s">
        <v>1546</v>
      </c>
      <c r="E35" s="196" t="s">
        <v>1303</v>
      </c>
      <c r="F35" s="196" t="s">
        <v>1304</v>
      </c>
      <c r="G35" s="401" t="s">
        <v>1305</v>
      </c>
      <c r="H35" s="196" t="s">
        <v>1250</v>
      </c>
      <c r="I35" s="411">
        <v>45729</v>
      </c>
      <c r="J35" s="196" t="s">
        <v>28</v>
      </c>
      <c r="K35" s="196" t="s">
        <v>1246</v>
      </c>
      <c r="L35" s="401" t="s">
        <v>57</v>
      </c>
      <c r="M35" s="196" t="s">
        <v>1288</v>
      </c>
      <c r="N35" s="196" t="s">
        <v>1249</v>
      </c>
      <c r="O35" s="196" t="s">
        <v>1289</v>
      </c>
      <c r="P35" s="401" t="s">
        <v>47</v>
      </c>
      <c r="Q35" s="192">
        <v>49997.599999999999</v>
      </c>
      <c r="R35" s="192">
        <f>Q35*0.15</f>
        <v>7499.6399999999994</v>
      </c>
      <c r="S35" s="410" t="s">
        <v>68</v>
      </c>
      <c r="T35" s="192">
        <f>R35*0.4</f>
        <v>2999.8559999999998</v>
      </c>
      <c r="U35" s="408" t="s">
        <v>340</v>
      </c>
      <c r="V35" s="192">
        <f>R35*0.6</f>
        <v>4499.7839999999997</v>
      </c>
      <c r="W35" s="192">
        <f t="shared" si="9"/>
        <v>1199.9423999999999</v>
      </c>
      <c r="X35" s="192">
        <f t="shared" ref="X35:X46" si="10">R35+W35</f>
        <v>8699.5823999999993</v>
      </c>
      <c r="Y35" s="202" t="s">
        <v>1306</v>
      </c>
      <c r="Z35" s="202" t="s">
        <v>1306</v>
      </c>
      <c r="AA35" s="197" t="s">
        <v>1809</v>
      </c>
      <c r="AB35" s="421" t="s">
        <v>944</v>
      </c>
      <c r="AC35" s="196"/>
      <c r="AD35" s="196"/>
    </row>
    <row r="36" spans="1:30" ht="25.95" customHeight="1" x14ac:dyDescent="0.3">
      <c r="A36" s="196" t="s">
        <v>1301</v>
      </c>
      <c r="B36" s="196" t="s">
        <v>1302</v>
      </c>
      <c r="C36" s="196" t="s">
        <v>1752</v>
      </c>
      <c r="D36" s="196" t="s">
        <v>1546</v>
      </c>
      <c r="E36" s="196" t="s">
        <v>1307</v>
      </c>
      <c r="F36" s="196" t="s">
        <v>1304</v>
      </c>
      <c r="G36" s="401" t="s">
        <v>1305</v>
      </c>
      <c r="H36" s="196" t="s">
        <v>1250</v>
      </c>
      <c r="I36" s="411">
        <v>45729</v>
      </c>
      <c r="J36" s="196" t="s">
        <v>28</v>
      </c>
      <c r="K36" s="196" t="s">
        <v>1246</v>
      </c>
      <c r="L36" s="401" t="s">
        <v>1291</v>
      </c>
      <c r="M36" s="196" t="s">
        <v>1288</v>
      </c>
      <c r="N36" s="196" t="s">
        <v>1249</v>
      </c>
      <c r="O36" s="196" t="s">
        <v>1250</v>
      </c>
      <c r="P36" s="401" t="s">
        <v>47</v>
      </c>
      <c r="Q36" s="192">
        <v>44493.15</v>
      </c>
      <c r="R36" s="192">
        <f>Q36*0.12</f>
        <v>5339.1779999999999</v>
      </c>
      <c r="S36" s="410" t="s">
        <v>26</v>
      </c>
      <c r="T36" s="192">
        <v>0</v>
      </c>
      <c r="U36" s="407"/>
      <c r="V36" s="192">
        <f>R36</f>
        <v>5339.1779999999999</v>
      </c>
      <c r="W36" s="192">
        <f t="shared" si="9"/>
        <v>854.26847999999995</v>
      </c>
      <c r="X36" s="192">
        <f t="shared" si="10"/>
        <v>6193.4464799999996</v>
      </c>
      <c r="Y36" s="202" t="s">
        <v>1306</v>
      </c>
      <c r="Z36" s="202" t="s">
        <v>1306</v>
      </c>
      <c r="AA36" s="197" t="s">
        <v>1809</v>
      </c>
      <c r="AB36" s="421" t="s">
        <v>1509</v>
      </c>
      <c r="AC36" s="196"/>
      <c r="AD36" s="196"/>
    </row>
    <row r="37" spans="1:30" ht="25.95" hidden="1" customHeight="1" x14ac:dyDescent="0.3">
      <c r="A37" s="196" t="s">
        <v>817</v>
      </c>
      <c r="B37" s="196" t="s">
        <v>1318</v>
      </c>
      <c r="C37" s="413" t="s">
        <v>1516</v>
      </c>
      <c r="D37" s="196" t="s">
        <v>1547</v>
      </c>
      <c r="E37" s="414" t="s">
        <v>1879</v>
      </c>
      <c r="F37" s="413" t="s">
        <v>1250</v>
      </c>
      <c r="G37" s="414" t="s">
        <v>1320</v>
      </c>
      <c r="H37" s="414" t="s">
        <v>1566</v>
      </c>
      <c r="I37" s="411">
        <v>45680</v>
      </c>
      <c r="J37" s="196" t="s">
        <v>44</v>
      </c>
      <c r="K37" s="196" t="s">
        <v>1246</v>
      </c>
      <c r="L37" s="196" t="s">
        <v>1281</v>
      </c>
      <c r="M37" s="196" t="s">
        <v>417</v>
      </c>
      <c r="N37" s="196" t="s">
        <v>1249</v>
      </c>
      <c r="O37" s="196" t="s">
        <v>1250</v>
      </c>
      <c r="P37" s="401" t="s">
        <v>47</v>
      </c>
      <c r="Q37" s="192">
        <v>334322.88</v>
      </c>
      <c r="R37" s="192">
        <f>Q37*0.12</f>
        <v>40118.745600000002</v>
      </c>
      <c r="S37" s="192" t="s">
        <v>26</v>
      </c>
      <c r="T37" s="192">
        <v>0</v>
      </c>
      <c r="U37" s="401"/>
      <c r="V37" s="192">
        <f>R37</f>
        <v>40118.745600000002</v>
      </c>
      <c r="W37" s="192">
        <f t="shared" si="9"/>
        <v>6418.9992960000009</v>
      </c>
      <c r="X37" s="192">
        <f t="shared" si="10"/>
        <v>46537.744896000004</v>
      </c>
      <c r="Y37" s="190" t="s">
        <v>27</v>
      </c>
      <c r="Z37" s="398" t="s">
        <v>27</v>
      </c>
      <c r="AA37" s="398" t="s">
        <v>27</v>
      </c>
      <c r="AB37" s="196" t="s">
        <v>1505</v>
      </c>
      <c r="AC37" s="196" t="s">
        <v>54</v>
      </c>
      <c r="AD37" s="402"/>
    </row>
    <row r="38" spans="1:30" ht="25.95" hidden="1" customHeight="1" x14ac:dyDescent="0.3">
      <c r="A38" s="196" t="s">
        <v>1346</v>
      </c>
      <c r="B38" s="196" t="s">
        <v>1347</v>
      </c>
      <c r="C38" s="413" t="s">
        <v>1516</v>
      </c>
      <c r="D38" s="196" t="s">
        <v>1547</v>
      </c>
      <c r="E38" s="414" t="s">
        <v>1250</v>
      </c>
      <c r="F38" s="413" t="s">
        <v>1250</v>
      </c>
      <c r="G38" s="414" t="s">
        <v>1447</v>
      </c>
      <c r="H38" s="414" t="s">
        <v>1446</v>
      </c>
      <c r="I38" s="411">
        <v>45684</v>
      </c>
      <c r="J38" s="196" t="s">
        <v>44</v>
      </c>
      <c r="K38" s="196" t="s">
        <v>1246</v>
      </c>
      <c r="L38" s="196" t="s">
        <v>57</v>
      </c>
      <c r="M38" s="196" t="s">
        <v>1248</v>
      </c>
      <c r="N38" s="196" t="s">
        <v>1249</v>
      </c>
      <c r="O38" s="196" t="s">
        <v>1250</v>
      </c>
      <c r="P38" s="401" t="s">
        <v>25</v>
      </c>
      <c r="Q38" s="192">
        <v>27060</v>
      </c>
      <c r="R38" s="192">
        <f>Q38*0.15</f>
        <v>4059</v>
      </c>
      <c r="S38" s="192" t="s">
        <v>26</v>
      </c>
      <c r="T38" s="192">
        <v>0</v>
      </c>
      <c r="U38" s="401"/>
      <c r="V38" s="192">
        <f>R38</f>
        <v>4059</v>
      </c>
      <c r="W38" s="192">
        <f t="shared" si="9"/>
        <v>649.44000000000005</v>
      </c>
      <c r="X38" s="192">
        <f t="shared" si="10"/>
        <v>4708.4400000000005</v>
      </c>
      <c r="Y38" s="190" t="s">
        <v>27</v>
      </c>
      <c r="Z38" s="398" t="s">
        <v>27</v>
      </c>
      <c r="AA38" s="398" t="s">
        <v>27</v>
      </c>
      <c r="AB38" s="196" t="s">
        <v>155</v>
      </c>
      <c r="AC38" s="196" t="s">
        <v>28</v>
      </c>
      <c r="AD38" s="196"/>
    </row>
    <row r="39" spans="1:30" ht="25.95" hidden="1" customHeight="1" x14ac:dyDescent="0.3">
      <c r="A39" s="196" t="s">
        <v>1501</v>
      </c>
      <c r="B39" s="196" t="s">
        <v>1500</v>
      </c>
      <c r="C39" s="413" t="s">
        <v>1668</v>
      </c>
      <c r="D39" s="196" t="s">
        <v>1547</v>
      </c>
      <c r="E39" s="414"/>
      <c r="F39" s="413" t="s">
        <v>1250</v>
      </c>
      <c r="G39" s="414">
        <v>2772500000142</v>
      </c>
      <c r="H39" s="414" t="s">
        <v>1708</v>
      </c>
      <c r="I39" s="411">
        <v>45709</v>
      </c>
      <c r="J39" s="196" t="s">
        <v>44</v>
      </c>
      <c r="K39" s="196" t="s">
        <v>1246</v>
      </c>
      <c r="L39" s="196" t="s">
        <v>595</v>
      </c>
      <c r="M39" s="196" t="s">
        <v>1248</v>
      </c>
      <c r="N39" s="196" t="s">
        <v>1249</v>
      </c>
      <c r="O39" s="196" t="s">
        <v>1250</v>
      </c>
      <c r="P39" s="401" t="s">
        <v>472</v>
      </c>
      <c r="Q39" s="192">
        <v>0</v>
      </c>
      <c r="R39" s="192">
        <v>3625.82</v>
      </c>
      <c r="S39" s="192" t="s">
        <v>26</v>
      </c>
      <c r="T39" s="192">
        <v>0</v>
      </c>
      <c r="U39" s="401"/>
      <c r="V39" s="192">
        <f>R39</f>
        <v>3625.82</v>
      </c>
      <c r="W39" s="192">
        <f t="shared" si="9"/>
        <v>580.13120000000004</v>
      </c>
      <c r="X39" s="192">
        <f t="shared" si="10"/>
        <v>4205.9512000000004</v>
      </c>
      <c r="Y39" s="190" t="s">
        <v>27</v>
      </c>
      <c r="Z39" s="398" t="s">
        <v>27</v>
      </c>
      <c r="AA39" s="398" t="s">
        <v>27</v>
      </c>
      <c r="AB39" s="196" t="s">
        <v>24</v>
      </c>
      <c r="AC39" s="196" t="s">
        <v>119</v>
      </c>
      <c r="AD39" s="196"/>
    </row>
    <row r="40" spans="1:30" ht="25.95" hidden="1" customHeight="1" x14ac:dyDescent="0.3">
      <c r="A40" s="196" t="s">
        <v>1403</v>
      </c>
      <c r="B40" s="196" t="s">
        <v>1245</v>
      </c>
      <c r="C40" s="413" t="s">
        <v>1722</v>
      </c>
      <c r="D40" s="196" t="s">
        <v>1723</v>
      </c>
      <c r="E40" s="414" t="s">
        <v>1250</v>
      </c>
      <c r="F40" s="413" t="s">
        <v>1250</v>
      </c>
      <c r="G40" s="414">
        <v>45154321</v>
      </c>
      <c r="H40" s="414" t="s">
        <v>1424</v>
      </c>
      <c r="I40" s="411">
        <v>45702</v>
      </c>
      <c r="J40" s="196" t="s">
        <v>54</v>
      </c>
      <c r="K40" s="196" t="s">
        <v>1246</v>
      </c>
      <c r="L40" s="196" t="s">
        <v>1247</v>
      </c>
      <c r="M40" s="196" t="s">
        <v>1248</v>
      </c>
      <c r="N40" s="196" t="s">
        <v>1249</v>
      </c>
      <c r="O40" s="196" t="s">
        <v>1250</v>
      </c>
      <c r="P40" s="401" t="s">
        <v>142</v>
      </c>
      <c r="Q40" s="192">
        <v>511421.533</v>
      </c>
      <c r="R40" s="192">
        <f>Q40*0.15</f>
        <v>76713.229949999994</v>
      </c>
      <c r="S40" s="192" t="s">
        <v>26</v>
      </c>
      <c r="T40" s="192">
        <v>0</v>
      </c>
      <c r="U40" s="401"/>
      <c r="V40" s="192">
        <f>R40</f>
        <v>76713.229949999994</v>
      </c>
      <c r="W40" s="192">
        <f t="shared" si="9"/>
        <v>12274.116791999999</v>
      </c>
      <c r="X40" s="192">
        <f t="shared" si="10"/>
        <v>88987.346741999994</v>
      </c>
      <c r="Y40" s="190"/>
      <c r="Z40" s="398" t="s">
        <v>27</v>
      </c>
      <c r="AA40" s="190" t="s">
        <v>1819</v>
      </c>
      <c r="AB40" s="196" t="s">
        <v>24</v>
      </c>
      <c r="AC40" s="196" t="s">
        <v>44</v>
      </c>
      <c r="AD40" s="196"/>
    </row>
    <row r="41" spans="1:30" ht="25.95" hidden="1" customHeight="1" x14ac:dyDescent="0.3">
      <c r="A41" s="196" t="s">
        <v>1331</v>
      </c>
      <c r="B41" s="196" t="s">
        <v>1332</v>
      </c>
      <c r="C41" s="413" t="s">
        <v>1880</v>
      </c>
      <c r="D41" s="196" t="s">
        <v>1547</v>
      </c>
      <c r="E41" s="414" t="s">
        <v>1250</v>
      </c>
      <c r="F41" s="413" t="s">
        <v>1250</v>
      </c>
      <c r="G41" s="414" t="s">
        <v>1537</v>
      </c>
      <c r="H41" s="414" t="s">
        <v>1881</v>
      </c>
      <c r="I41" s="411">
        <v>45715</v>
      </c>
      <c r="J41" s="196" t="s">
        <v>54</v>
      </c>
      <c r="K41" s="196" t="s">
        <v>1246</v>
      </c>
      <c r="L41" s="196" t="s">
        <v>1333</v>
      </c>
      <c r="M41" s="196" t="s">
        <v>1254</v>
      </c>
      <c r="N41" s="196" t="s">
        <v>1249</v>
      </c>
      <c r="O41" s="196" t="s">
        <v>46</v>
      </c>
      <c r="P41" s="401" t="s">
        <v>596</v>
      </c>
      <c r="Q41" s="192">
        <v>168200</v>
      </c>
      <c r="R41" s="192">
        <v>20402.900000000001</v>
      </c>
      <c r="S41" s="192" t="s">
        <v>72</v>
      </c>
      <c r="T41" s="192">
        <f>R41*0.6</f>
        <v>12241.74</v>
      </c>
      <c r="U41" s="425" t="s">
        <v>27</v>
      </c>
      <c r="V41" s="192">
        <f>R41*0.4</f>
        <v>8161.1600000000008</v>
      </c>
      <c r="W41" s="192">
        <f t="shared" si="9"/>
        <v>3264.4640000000004</v>
      </c>
      <c r="X41" s="192">
        <f t="shared" si="10"/>
        <v>23667.364000000001</v>
      </c>
      <c r="Y41" s="190" t="s">
        <v>27</v>
      </c>
      <c r="Z41" s="398" t="s">
        <v>27</v>
      </c>
      <c r="AA41" s="398" t="s">
        <v>27</v>
      </c>
      <c r="AB41" s="196" t="s">
        <v>46</v>
      </c>
      <c r="AC41" s="196" t="s">
        <v>28</v>
      </c>
      <c r="AD41" s="196"/>
    </row>
    <row r="42" spans="1:30" ht="25.95" hidden="1" customHeight="1" x14ac:dyDescent="0.3">
      <c r="A42" s="196" t="s">
        <v>1102</v>
      </c>
      <c r="B42" s="196" t="s">
        <v>1329</v>
      </c>
      <c r="C42" s="413" t="s">
        <v>1516</v>
      </c>
      <c r="D42" s="196" t="s">
        <v>1547</v>
      </c>
      <c r="E42" s="414" t="s">
        <v>1250</v>
      </c>
      <c r="F42" s="413" t="s">
        <v>1250</v>
      </c>
      <c r="G42" s="414" t="s">
        <v>1330</v>
      </c>
      <c r="H42" s="414" t="s">
        <v>1610</v>
      </c>
      <c r="I42" s="411">
        <v>45701</v>
      </c>
      <c r="J42" s="196" t="s">
        <v>54</v>
      </c>
      <c r="K42" s="196" t="s">
        <v>1246</v>
      </c>
      <c r="L42" s="196" t="s">
        <v>57</v>
      </c>
      <c r="M42" s="196" t="s">
        <v>1248</v>
      </c>
      <c r="N42" s="196" t="s">
        <v>1249</v>
      </c>
      <c r="O42" s="196" t="s">
        <v>1250</v>
      </c>
      <c r="P42" s="401" t="s">
        <v>25</v>
      </c>
      <c r="Q42" s="192">
        <v>37630.230000000003</v>
      </c>
      <c r="R42" s="192">
        <f>Q42*0.15</f>
        <v>5644.5345000000007</v>
      </c>
      <c r="S42" s="192" t="s">
        <v>26</v>
      </c>
      <c r="T42" s="192">
        <v>0</v>
      </c>
      <c r="U42" s="401"/>
      <c r="V42" s="192">
        <f t="shared" ref="V42:V47" si="11">R42</f>
        <v>5644.5345000000007</v>
      </c>
      <c r="W42" s="192">
        <f t="shared" si="9"/>
        <v>903.12552000000017</v>
      </c>
      <c r="X42" s="192">
        <f t="shared" si="10"/>
        <v>6547.6600200000012</v>
      </c>
      <c r="Y42" s="190" t="s">
        <v>27</v>
      </c>
      <c r="Z42" s="398" t="s">
        <v>27</v>
      </c>
      <c r="AA42" s="398" t="s">
        <v>27</v>
      </c>
      <c r="AB42" s="196" t="s">
        <v>1293</v>
      </c>
      <c r="AC42" s="196" t="s">
        <v>28</v>
      </c>
      <c r="AD42" s="196"/>
    </row>
    <row r="43" spans="1:30" ht="25.95" hidden="1" customHeight="1" x14ac:dyDescent="0.3">
      <c r="A43" s="196" t="s">
        <v>1007</v>
      </c>
      <c r="B43" s="196" t="s">
        <v>1348</v>
      </c>
      <c r="C43" s="413" t="s">
        <v>1516</v>
      </c>
      <c r="D43" s="196" t="s">
        <v>1547</v>
      </c>
      <c r="E43" s="414" t="s">
        <v>1250</v>
      </c>
      <c r="F43" s="413" t="s">
        <v>1250</v>
      </c>
      <c r="G43" s="414" t="s">
        <v>1448</v>
      </c>
      <c r="H43" s="414" t="s">
        <v>1449</v>
      </c>
      <c r="I43" s="411">
        <v>45700</v>
      </c>
      <c r="J43" s="196" t="s">
        <v>54</v>
      </c>
      <c r="K43" s="196" t="s">
        <v>1246</v>
      </c>
      <c r="L43" s="196" t="s">
        <v>1281</v>
      </c>
      <c r="M43" s="196" t="s">
        <v>417</v>
      </c>
      <c r="N43" s="196" t="s">
        <v>1249</v>
      </c>
      <c r="O43" s="196" t="s">
        <v>1250</v>
      </c>
      <c r="P43" s="401" t="s">
        <v>47</v>
      </c>
      <c r="Q43" s="192">
        <v>7372.63</v>
      </c>
      <c r="R43" s="192">
        <f>Q43*0.12</f>
        <v>884.71559999999999</v>
      </c>
      <c r="S43" s="192" t="s">
        <v>26</v>
      </c>
      <c r="T43" s="192">
        <v>0</v>
      </c>
      <c r="U43" s="401"/>
      <c r="V43" s="192">
        <f t="shared" si="11"/>
        <v>884.71559999999999</v>
      </c>
      <c r="W43" s="192">
        <f t="shared" si="9"/>
        <v>141.554496</v>
      </c>
      <c r="X43" s="192">
        <f t="shared" si="10"/>
        <v>1026.270096</v>
      </c>
      <c r="Y43" s="190" t="s">
        <v>27</v>
      </c>
      <c r="Z43" s="398" t="s">
        <v>27</v>
      </c>
      <c r="AA43" s="398" t="s">
        <v>27</v>
      </c>
      <c r="AB43" s="196" t="s">
        <v>1505</v>
      </c>
      <c r="AC43" s="196" t="s">
        <v>28</v>
      </c>
      <c r="AD43" s="196"/>
    </row>
    <row r="44" spans="1:30" ht="25.95" hidden="1" customHeight="1" x14ac:dyDescent="0.3">
      <c r="A44" s="196" t="s">
        <v>1362</v>
      </c>
      <c r="B44" s="196" t="s">
        <v>1369</v>
      </c>
      <c r="C44" s="413" t="s">
        <v>1516</v>
      </c>
      <c r="D44" s="196" t="s">
        <v>1547</v>
      </c>
      <c r="E44" s="414" t="s">
        <v>1250</v>
      </c>
      <c r="F44" s="413" t="s">
        <v>1250</v>
      </c>
      <c r="G44" s="414" t="s">
        <v>1497</v>
      </c>
      <c r="H44" s="414" t="s">
        <v>1882</v>
      </c>
      <c r="I44" s="411">
        <v>45691</v>
      </c>
      <c r="J44" s="196" t="s">
        <v>54</v>
      </c>
      <c r="K44" s="196" t="s">
        <v>1246</v>
      </c>
      <c r="L44" s="196" t="s">
        <v>1364</v>
      </c>
      <c r="M44" s="196" t="s">
        <v>1248</v>
      </c>
      <c r="N44" s="196" t="s">
        <v>1249</v>
      </c>
      <c r="O44" s="196" t="s">
        <v>1250</v>
      </c>
      <c r="P44" s="401" t="s">
        <v>472</v>
      </c>
      <c r="Q44" s="192">
        <v>0</v>
      </c>
      <c r="R44" s="192">
        <v>0</v>
      </c>
      <c r="S44" s="192" t="s">
        <v>26</v>
      </c>
      <c r="T44" s="192">
        <v>0</v>
      </c>
      <c r="U44" s="401"/>
      <c r="V44" s="192">
        <f t="shared" si="11"/>
        <v>0</v>
      </c>
      <c r="W44" s="192">
        <f t="shared" si="9"/>
        <v>0</v>
      </c>
      <c r="X44" s="192">
        <f t="shared" si="10"/>
        <v>0</v>
      </c>
      <c r="Y44" s="190" t="s">
        <v>27</v>
      </c>
      <c r="Z44" s="398" t="s">
        <v>27</v>
      </c>
      <c r="AA44" s="398" t="s">
        <v>27</v>
      </c>
      <c r="AB44" s="196" t="s">
        <v>24</v>
      </c>
      <c r="AC44" s="196" t="s">
        <v>119</v>
      </c>
      <c r="AD44" s="196"/>
    </row>
    <row r="45" spans="1:30" ht="25.95" hidden="1" customHeight="1" x14ac:dyDescent="0.3">
      <c r="A45" s="196" t="s">
        <v>1227</v>
      </c>
      <c r="B45" s="196" t="s">
        <v>1401</v>
      </c>
      <c r="C45" s="413" t="s">
        <v>1516</v>
      </c>
      <c r="D45" s="196" t="s">
        <v>1547</v>
      </c>
      <c r="E45" s="414" t="s">
        <v>1250</v>
      </c>
      <c r="F45" s="413" t="s">
        <v>1250</v>
      </c>
      <c r="G45" s="414" t="s">
        <v>2008</v>
      </c>
      <c r="H45" s="414" t="s">
        <v>1556</v>
      </c>
      <c r="I45" s="411">
        <v>45806</v>
      </c>
      <c r="J45" s="196" t="s">
        <v>84</v>
      </c>
      <c r="K45" s="196" t="s">
        <v>1246</v>
      </c>
      <c r="L45" s="196" t="s">
        <v>1463</v>
      </c>
      <c r="M45" s="196" t="s">
        <v>1248</v>
      </c>
      <c r="N45" s="196" t="s">
        <v>1249</v>
      </c>
      <c r="O45" s="196" t="s">
        <v>1250</v>
      </c>
      <c r="P45" s="401" t="s">
        <v>25</v>
      </c>
      <c r="Q45" s="192">
        <v>13632.68</v>
      </c>
      <c r="R45" s="192">
        <f>Q45*0.15</f>
        <v>2044.902</v>
      </c>
      <c r="S45" s="196" t="s">
        <v>26</v>
      </c>
      <c r="T45" s="192">
        <v>0</v>
      </c>
      <c r="U45" s="401"/>
      <c r="V45" s="192">
        <f t="shared" si="11"/>
        <v>2044.902</v>
      </c>
      <c r="W45" s="192">
        <f t="shared" si="9"/>
        <v>327.18432000000001</v>
      </c>
      <c r="X45" s="192">
        <f t="shared" si="10"/>
        <v>2372.0863199999999</v>
      </c>
      <c r="Y45" s="190" t="s">
        <v>27</v>
      </c>
      <c r="Z45" s="398" t="s">
        <v>1988</v>
      </c>
      <c r="AA45" s="398" t="s">
        <v>27</v>
      </c>
      <c r="AB45" s="196" t="s">
        <v>24</v>
      </c>
      <c r="AC45" s="196" t="s">
        <v>119</v>
      </c>
      <c r="AD45" s="196"/>
    </row>
    <row r="46" spans="1:30" ht="25.95" hidden="1" customHeight="1" x14ac:dyDescent="0.3">
      <c r="A46" s="196" t="s">
        <v>1227</v>
      </c>
      <c r="B46" s="196" t="s">
        <v>1402</v>
      </c>
      <c r="C46" s="413" t="s">
        <v>1516</v>
      </c>
      <c r="D46" s="196" t="s">
        <v>1547</v>
      </c>
      <c r="E46" s="414" t="s">
        <v>1250</v>
      </c>
      <c r="F46" s="413" t="s">
        <v>1250</v>
      </c>
      <c r="G46" s="414" t="s">
        <v>2007</v>
      </c>
      <c r="H46" s="414" t="s">
        <v>1557</v>
      </c>
      <c r="I46" s="411">
        <v>45806</v>
      </c>
      <c r="J46" s="196" t="s">
        <v>84</v>
      </c>
      <c r="K46" s="196" t="s">
        <v>1246</v>
      </c>
      <c r="L46" s="196" t="s">
        <v>1463</v>
      </c>
      <c r="M46" s="196" t="s">
        <v>1248</v>
      </c>
      <c r="N46" s="196" t="s">
        <v>1249</v>
      </c>
      <c r="O46" s="196" t="s">
        <v>1250</v>
      </c>
      <c r="P46" s="401" t="s">
        <v>25</v>
      </c>
      <c r="Q46" s="192">
        <v>17193.259999999998</v>
      </c>
      <c r="R46" s="192">
        <f>Q46*0.15</f>
        <v>2578.9889999999996</v>
      </c>
      <c r="S46" s="196" t="s">
        <v>26</v>
      </c>
      <c r="T46" s="192">
        <v>0</v>
      </c>
      <c r="U46" s="401"/>
      <c r="V46" s="192">
        <f t="shared" si="11"/>
        <v>2578.9889999999996</v>
      </c>
      <c r="W46" s="192">
        <f t="shared" si="9"/>
        <v>412.63823999999994</v>
      </c>
      <c r="X46" s="192">
        <f t="shared" si="10"/>
        <v>2991.6272399999993</v>
      </c>
      <c r="Y46" s="190" t="s">
        <v>27</v>
      </c>
      <c r="Z46" s="398" t="s">
        <v>1988</v>
      </c>
      <c r="AA46" s="398" t="s">
        <v>27</v>
      </c>
      <c r="AB46" s="196" t="s">
        <v>24</v>
      </c>
      <c r="AC46" s="196" t="s">
        <v>119</v>
      </c>
      <c r="AD46" s="196"/>
    </row>
    <row r="47" spans="1:30" ht="25.95" hidden="1" customHeight="1" x14ac:dyDescent="0.3">
      <c r="A47" s="196" t="s">
        <v>1227</v>
      </c>
      <c r="B47" s="196" t="s">
        <v>1491</v>
      </c>
      <c r="C47" s="196" t="s">
        <v>1516</v>
      </c>
      <c r="D47" s="196" t="s">
        <v>1547</v>
      </c>
      <c r="E47" s="196" t="s">
        <v>1250</v>
      </c>
      <c r="F47" s="196" t="s">
        <v>1250</v>
      </c>
      <c r="G47" s="196" t="s">
        <v>2006</v>
      </c>
      <c r="H47" s="196" t="s">
        <v>1561</v>
      </c>
      <c r="I47" s="411">
        <v>45736</v>
      </c>
      <c r="J47" s="196" t="s">
        <v>28</v>
      </c>
      <c r="K47" s="196" t="s">
        <v>1246</v>
      </c>
      <c r="L47" s="196" t="s">
        <v>1463</v>
      </c>
      <c r="M47" s="196" t="s">
        <v>1248</v>
      </c>
      <c r="N47" s="196" t="s">
        <v>1249</v>
      </c>
      <c r="O47" s="196" t="s">
        <v>1250</v>
      </c>
      <c r="P47" s="401" t="s">
        <v>25</v>
      </c>
      <c r="Q47" s="192">
        <v>0</v>
      </c>
      <c r="R47" s="192">
        <f>Q47*0.15</f>
        <v>0</v>
      </c>
      <c r="S47" s="196" t="s">
        <v>26</v>
      </c>
      <c r="T47" s="192">
        <v>0</v>
      </c>
      <c r="U47" s="196"/>
      <c r="V47" s="409">
        <f t="shared" si="11"/>
        <v>0</v>
      </c>
      <c r="W47" s="409">
        <f t="shared" ref="W47:W82" si="12">R47*0.16</f>
        <v>0</v>
      </c>
      <c r="X47" s="409">
        <f t="shared" ref="X47:X82" si="13">R47+W47</f>
        <v>0</v>
      </c>
      <c r="Y47" s="190" t="s">
        <v>2000</v>
      </c>
      <c r="Z47" s="398" t="s">
        <v>1967</v>
      </c>
      <c r="AA47" s="398" t="s">
        <v>27</v>
      </c>
      <c r="AB47" s="196" t="s">
        <v>24</v>
      </c>
      <c r="AC47" s="196" t="s">
        <v>54</v>
      </c>
      <c r="AD47" s="196"/>
    </row>
    <row r="48" spans="1:30" ht="25.95" hidden="1" customHeight="1" x14ac:dyDescent="0.3">
      <c r="A48" s="196" t="s">
        <v>1315</v>
      </c>
      <c r="B48" s="196" t="s">
        <v>1316</v>
      </c>
      <c r="C48" s="413" t="s">
        <v>1516</v>
      </c>
      <c r="D48" s="196" t="s">
        <v>1547</v>
      </c>
      <c r="E48" s="414" t="s">
        <v>1250</v>
      </c>
      <c r="F48" s="413" t="s">
        <v>1250</v>
      </c>
      <c r="G48" s="414" t="s">
        <v>1317</v>
      </c>
      <c r="H48" s="414" t="s">
        <v>1883</v>
      </c>
      <c r="I48" s="411">
        <v>45742</v>
      </c>
      <c r="J48" s="196" t="s">
        <v>28</v>
      </c>
      <c r="K48" s="196" t="s">
        <v>1246</v>
      </c>
      <c r="L48" s="196" t="s">
        <v>145</v>
      </c>
      <c r="M48" s="196" t="s">
        <v>1248</v>
      </c>
      <c r="N48" s="196" t="s">
        <v>1249</v>
      </c>
      <c r="O48" s="196" t="s">
        <v>46</v>
      </c>
      <c r="P48" s="401" t="s">
        <v>315</v>
      </c>
      <c r="Q48" s="192">
        <v>253410.02</v>
      </c>
      <c r="R48" s="192">
        <v>38806.639999999999</v>
      </c>
      <c r="S48" s="192" t="s">
        <v>72</v>
      </c>
      <c r="T48" s="192">
        <f>R48*0.6</f>
        <v>23283.984</v>
      </c>
      <c r="U48" s="425" t="s">
        <v>27</v>
      </c>
      <c r="V48" s="192">
        <f>R48*0.4</f>
        <v>15522.656000000001</v>
      </c>
      <c r="W48" s="192">
        <f t="shared" si="12"/>
        <v>6209.0623999999998</v>
      </c>
      <c r="X48" s="192">
        <f t="shared" si="13"/>
        <v>45015.702400000002</v>
      </c>
      <c r="Y48" s="190" t="s">
        <v>27</v>
      </c>
      <c r="Z48" s="398" t="s">
        <v>27</v>
      </c>
      <c r="AA48" s="398" t="s">
        <v>27</v>
      </c>
      <c r="AB48" s="196" t="s">
        <v>46</v>
      </c>
      <c r="AC48" s="196" t="s">
        <v>99</v>
      </c>
      <c r="AD48" s="196"/>
    </row>
    <row r="49" spans="1:30" s="261" customFormat="1" ht="25.95" hidden="1" customHeight="1" x14ac:dyDescent="0.3">
      <c r="A49" s="202" t="s">
        <v>1321</v>
      </c>
      <c r="B49" s="202" t="s">
        <v>1322</v>
      </c>
      <c r="C49" s="413" t="s">
        <v>1516</v>
      </c>
      <c r="D49" s="196" t="s">
        <v>1547</v>
      </c>
      <c r="E49" s="414" t="s">
        <v>1884</v>
      </c>
      <c r="F49" s="413" t="s">
        <v>1885</v>
      </c>
      <c r="G49" s="431" t="s">
        <v>1323</v>
      </c>
      <c r="H49" s="431" t="s">
        <v>1614</v>
      </c>
      <c r="I49" s="432">
        <v>45744</v>
      </c>
      <c r="J49" s="202" t="s">
        <v>28</v>
      </c>
      <c r="K49" s="202" t="s">
        <v>1246</v>
      </c>
      <c r="L49" s="202" t="s">
        <v>57</v>
      </c>
      <c r="M49" s="196" t="s">
        <v>1324</v>
      </c>
      <c r="N49" s="196" t="s">
        <v>1249</v>
      </c>
      <c r="O49" s="196" t="s">
        <v>1272</v>
      </c>
      <c r="P49" s="433" t="s">
        <v>25</v>
      </c>
      <c r="Q49" s="434">
        <v>273690.71000000002</v>
      </c>
      <c r="R49" s="434">
        <f>Q49*0.15</f>
        <v>41053.606500000002</v>
      </c>
      <c r="S49" s="435" t="s">
        <v>1273</v>
      </c>
      <c r="T49" s="434">
        <f>R49*0.5</f>
        <v>20526.803250000001</v>
      </c>
      <c r="U49" s="202" t="s">
        <v>340</v>
      </c>
      <c r="V49" s="434">
        <f>R49*0.5</f>
        <v>20526.803250000001</v>
      </c>
      <c r="W49" s="434">
        <f t="shared" si="12"/>
        <v>6568.5770400000001</v>
      </c>
      <c r="X49" s="434">
        <f t="shared" si="13"/>
        <v>47622.183539999998</v>
      </c>
      <c r="Y49" s="202" t="s">
        <v>27</v>
      </c>
      <c r="Z49" s="432" t="s">
        <v>27</v>
      </c>
      <c r="AA49" s="432" t="s">
        <v>27</v>
      </c>
      <c r="AB49" s="202" t="s">
        <v>1325</v>
      </c>
      <c r="AC49" s="202" t="s">
        <v>99</v>
      </c>
      <c r="AD49" s="202"/>
    </row>
    <row r="50" spans="1:30" ht="25.95" hidden="1" customHeight="1" x14ac:dyDescent="0.3">
      <c r="A50" s="196" t="s">
        <v>1442</v>
      </c>
      <c r="B50" s="196" t="s">
        <v>1343</v>
      </c>
      <c r="C50" s="413" t="s">
        <v>1886</v>
      </c>
      <c r="D50" s="196" t="s">
        <v>1547</v>
      </c>
      <c r="E50" s="414" t="s">
        <v>1250</v>
      </c>
      <c r="F50" s="413" t="s">
        <v>1250</v>
      </c>
      <c r="G50" s="414" t="s">
        <v>1443</v>
      </c>
      <c r="H50" s="414" t="s">
        <v>1887</v>
      </c>
      <c r="I50" s="411">
        <v>45742</v>
      </c>
      <c r="J50" s="196" t="s">
        <v>28</v>
      </c>
      <c r="K50" s="196" t="s">
        <v>1246</v>
      </c>
      <c r="L50" s="196" t="s">
        <v>57</v>
      </c>
      <c r="M50" s="196" t="s">
        <v>1254</v>
      </c>
      <c r="N50" s="196" t="s">
        <v>1249</v>
      </c>
      <c r="O50" s="196" t="s">
        <v>46</v>
      </c>
      <c r="P50" s="401" t="s">
        <v>315</v>
      </c>
      <c r="Q50" s="192">
        <v>147608.70000000001</v>
      </c>
      <c r="R50" s="192">
        <f>Q50*0.15</f>
        <v>22141.305</v>
      </c>
      <c r="S50" s="192" t="s">
        <v>72</v>
      </c>
      <c r="T50" s="192">
        <f>R50*0.6</f>
        <v>13284.782999999999</v>
      </c>
      <c r="U50" s="425" t="s">
        <v>27</v>
      </c>
      <c r="V50" s="192">
        <f>R50*0.4</f>
        <v>8856.5220000000008</v>
      </c>
      <c r="W50" s="192">
        <f t="shared" si="12"/>
        <v>3542.6088</v>
      </c>
      <c r="X50" s="192">
        <f t="shared" si="13"/>
        <v>25683.913800000002</v>
      </c>
      <c r="Y50" s="190" t="s">
        <v>27</v>
      </c>
      <c r="Z50" s="398" t="s">
        <v>27</v>
      </c>
      <c r="AA50" s="398" t="s">
        <v>27</v>
      </c>
      <c r="AB50" s="196" t="s">
        <v>46</v>
      </c>
      <c r="AC50" s="196" t="s">
        <v>99</v>
      </c>
      <c r="AD50" s="196"/>
    </row>
    <row r="51" spans="1:30" ht="25.95" hidden="1" customHeight="1" x14ac:dyDescent="0.3">
      <c r="A51" s="196" t="s">
        <v>1355</v>
      </c>
      <c r="B51" s="196" t="s">
        <v>1357</v>
      </c>
      <c r="C51" s="413" t="s">
        <v>1516</v>
      </c>
      <c r="D51" s="196" t="s">
        <v>1547</v>
      </c>
      <c r="E51" s="414" t="s">
        <v>1250</v>
      </c>
      <c r="F51" s="413" t="s">
        <v>1465</v>
      </c>
      <c r="G51" s="414" t="s">
        <v>1461</v>
      </c>
      <c r="H51" s="414" t="s">
        <v>1459</v>
      </c>
      <c r="I51" s="411">
        <v>45719</v>
      </c>
      <c r="J51" s="196" t="s">
        <v>28</v>
      </c>
      <c r="K51" s="196" t="s">
        <v>1246</v>
      </c>
      <c r="L51" s="196" t="s">
        <v>213</v>
      </c>
      <c r="M51" s="196" t="s">
        <v>1271</v>
      </c>
      <c r="N51" s="196" t="s">
        <v>1249</v>
      </c>
      <c r="O51" s="196" t="s">
        <v>1250</v>
      </c>
      <c r="P51" s="401" t="s">
        <v>47</v>
      </c>
      <c r="Q51" s="192">
        <v>212800</v>
      </c>
      <c r="R51" s="192">
        <f>Q51*0.15</f>
        <v>31920</v>
      </c>
      <c r="S51" s="192" t="s">
        <v>26</v>
      </c>
      <c r="T51" s="192">
        <v>0</v>
      </c>
      <c r="U51" s="401"/>
      <c r="V51" s="192">
        <f t="shared" ref="V51:V58" si="14">R51</f>
        <v>31920</v>
      </c>
      <c r="W51" s="192">
        <f t="shared" si="12"/>
        <v>5107.2</v>
      </c>
      <c r="X51" s="192">
        <f t="shared" si="13"/>
        <v>37027.199999999997</v>
      </c>
      <c r="Y51" s="190" t="s">
        <v>27</v>
      </c>
      <c r="Z51" s="398" t="s">
        <v>27</v>
      </c>
      <c r="AA51" s="398" t="s">
        <v>27</v>
      </c>
      <c r="AB51" s="196" t="s">
        <v>24</v>
      </c>
      <c r="AC51" s="196" t="s">
        <v>99</v>
      </c>
      <c r="AD51" s="196"/>
    </row>
    <row r="52" spans="1:30" ht="27.6" hidden="1" customHeight="1" x14ac:dyDescent="0.3">
      <c r="A52" s="196" t="s">
        <v>1355</v>
      </c>
      <c r="B52" s="196" t="s">
        <v>1358</v>
      </c>
      <c r="C52" s="413" t="s">
        <v>1516</v>
      </c>
      <c r="D52" s="196" t="s">
        <v>1547</v>
      </c>
      <c r="E52" s="414" t="s">
        <v>1250</v>
      </c>
      <c r="F52" s="413" t="s">
        <v>1250</v>
      </c>
      <c r="G52" s="414" t="s">
        <v>1460</v>
      </c>
      <c r="H52" s="414" t="s">
        <v>1459</v>
      </c>
      <c r="I52" s="411">
        <v>45719</v>
      </c>
      <c r="J52" s="196" t="s">
        <v>28</v>
      </c>
      <c r="K52" s="196" t="s">
        <v>1246</v>
      </c>
      <c r="L52" s="196" t="s">
        <v>1276</v>
      </c>
      <c r="M52" s="196" t="s">
        <v>1271</v>
      </c>
      <c r="N52" s="196" t="s">
        <v>1249</v>
      </c>
      <c r="O52" s="196" t="s">
        <v>1250</v>
      </c>
      <c r="P52" s="401" t="s">
        <v>47</v>
      </c>
      <c r="Q52" s="192">
        <v>41136</v>
      </c>
      <c r="R52" s="192">
        <f>Q52*0.15</f>
        <v>6170.4</v>
      </c>
      <c r="S52" s="192" t="s">
        <v>26</v>
      </c>
      <c r="T52" s="192">
        <v>0</v>
      </c>
      <c r="U52" s="401"/>
      <c r="V52" s="192">
        <f t="shared" si="14"/>
        <v>6170.4</v>
      </c>
      <c r="W52" s="192">
        <f t="shared" si="12"/>
        <v>987.26400000000001</v>
      </c>
      <c r="X52" s="192">
        <f t="shared" si="13"/>
        <v>7157.6639999999998</v>
      </c>
      <c r="Y52" s="190" t="s">
        <v>27</v>
      </c>
      <c r="Z52" s="398" t="s">
        <v>27</v>
      </c>
      <c r="AA52" s="398" t="s">
        <v>27</v>
      </c>
      <c r="AB52" s="196" t="s">
        <v>24</v>
      </c>
      <c r="AC52" s="196" t="s">
        <v>99</v>
      </c>
      <c r="AD52" s="404"/>
    </row>
    <row r="53" spans="1:30" s="261" customFormat="1" ht="25.95" customHeight="1" x14ac:dyDescent="0.3">
      <c r="A53" s="202" t="s">
        <v>1313</v>
      </c>
      <c r="B53" s="202" t="s">
        <v>1314</v>
      </c>
      <c r="C53" s="196" t="s">
        <v>1820</v>
      </c>
      <c r="D53" s="196" t="s">
        <v>1546</v>
      </c>
      <c r="E53" s="196" t="s">
        <v>1250</v>
      </c>
      <c r="F53" s="196" t="s">
        <v>1250</v>
      </c>
      <c r="G53" s="433" t="s">
        <v>1434</v>
      </c>
      <c r="H53" s="202" t="s">
        <v>1888</v>
      </c>
      <c r="I53" s="432">
        <v>45772</v>
      </c>
      <c r="J53" s="202" t="s">
        <v>99</v>
      </c>
      <c r="K53" s="202" t="s">
        <v>1246</v>
      </c>
      <c r="L53" s="433" t="s">
        <v>71</v>
      </c>
      <c r="M53" s="196" t="s">
        <v>1248</v>
      </c>
      <c r="N53" s="196" t="s">
        <v>1249</v>
      </c>
      <c r="O53" s="196" t="s">
        <v>1250</v>
      </c>
      <c r="P53" s="433" t="s">
        <v>315</v>
      </c>
      <c r="Q53" s="434">
        <v>214285.8</v>
      </c>
      <c r="R53" s="434">
        <f>Q53*0.15</f>
        <v>32142.869999999995</v>
      </c>
      <c r="S53" s="202" t="s">
        <v>26</v>
      </c>
      <c r="T53" s="434">
        <v>0</v>
      </c>
      <c r="U53" s="202"/>
      <c r="V53" s="434">
        <f t="shared" si="14"/>
        <v>32142.869999999995</v>
      </c>
      <c r="W53" s="434">
        <f t="shared" si="12"/>
        <v>5142.859199999999</v>
      </c>
      <c r="X53" s="434">
        <f t="shared" si="13"/>
        <v>37285.729199999994</v>
      </c>
      <c r="Y53" s="202" t="s">
        <v>340</v>
      </c>
      <c r="Z53" s="202" t="s">
        <v>340</v>
      </c>
      <c r="AA53" s="202" t="s">
        <v>1811</v>
      </c>
      <c r="AB53" s="202" t="s">
        <v>24</v>
      </c>
      <c r="AC53" s="202"/>
      <c r="AD53" s="202"/>
    </row>
    <row r="54" spans="1:30" s="460" customFormat="1" ht="25.95" customHeight="1" x14ac:dyDescent="0.3">
      <c r="A54" s="456" t="s">
        <v>705</v>
      </c>
      <c r="B54" s="456" t="s">
        <v>1756</v>
      </c>
      <c r="C54" s="196" t="s">
        <v>1773</v>
      </c>
      <c r="D54" s="196" t="s">
        <v>1546</v>
      </c>
      <c r="E54" s="196" t="s">
        <v>1250</v>
      </c>
      <c r="F54" s="196" t="s">
        <v>1250</v>
      </c>
      <c r="G54" s="457">
        <v>50932</v>
      </c>
      <c r="H54" s="456" t="s">
        <v>1575</v>
      </c>
      <c r="I54" s="458">
        <v>45775</v>
      </c>
      <c r="J54" s="456" t="s">
        <v>99</v>
      </c>
      <c r="K54" s="456" t="s">
        <v>1246</v>
      </c>
      <c r="L54" s="457" t="s">
        <v>1370</v>
      </c>
      <c r="M54" s="196" t="s">
        <v>1248</v>
      </c>
      <c r="N54" s="196" t="s">
        <v>1249</v>
      </c>
      <c r="O54" s="196" t="s">
        <v>1250</v>
      </c>
      <c r="P54" s="457" t="s">
        <v>142</v>
      </c>
      <c r="Q54" s="459">
        <v>199286.34</v>
      </c>
      <c r="R54" s="459">
        <f>Q54*0.2</f>
        <v>39857.268000000004</v>
      </c>
      <c r="S54" s="456" t="s">
        <v>26</v>
      </c>
      <c r="T54" s="459">
        <v>0</v>
      </c>
      <c r="U54" s="456"/>
      <c r="V54" s="459">
        <f t="shared" si="14"/>
        <v>39857.268000000004</v>
      </c>
      <c r="W54" s="459">
        <f t="shared" si="12"/>
        <v>6377.1628800000008</v>
      </c>
      <c r="X54" s="459">
        <f t="shared" si="13"/>
        <v>46234.430880000007</v>
      </c>
      <c r="Y54" s="456" t="s">
        <v>340</v>
      </c>
      <c r="Z54" s="456" t="s">
        <v>340</v>
      </c>
      <c r="AA54" s="456" t="s">
        <v>1810</v>
      </c>
      <c r="AB54" s="456" t="s">
        <v>24</v>
      </c>
      <c r="AC54" s="456"/>
      <c r="AD54" s="456"/>
    </row>
    <row r="55" spans="1:30" s="261" customFormat="1" ht="21" customHeight="1" x14ac:dyDescent="0.3">
      <c r="A55" s="202" t="s">
        <v>1311</v>
      </c>
      <c r="B55" s="202" t="s">
        <v>1312</v>
      </c>
      <c r="C55" s="196" t="s">
        <v>1820</v>
      </c>
      <c r="D55" s="196" t="s">
        <v>1546</v>
      </c>
      <c r="E55" s="196" t="s">
        <v>1250</v>
      </c>
      <c r="F55" s="196" t="s">
        <v>1250</v>
      </c>
      <c r="G55" s="433" t="s">
        <v>1435</v>
      </c>
      <c r="H55" s="202" t="s">
        <v>1889</v>
      </c>
      <c r="I55" s="432">
        <v>45776</v>
      </c>
      <c r="J55" s="202" t="s">
        <v>99</v>
      </c>
      <c r="K55" s="202" t="s">
        <v>1246</v>
      </c>
      <c r="L55" s="433" t="s">
        <v>71</v>
      </c>
      <c r="M55" s="196" t="s">
        <v>1248</v>
      </c>
      <c r="N55" s="196" t="s">
        <v>1249</v>
      </c>
      <c r="O55" s="196" t="s">
        <v>1250</v>
      </c>
      <c r="P55" s="433" t="s">
        <v>315</v>
      </c>
      <c r="Q55" s="434">
        <v>214285.8</v>
      </c>
      <c r="R55" s="434">
        <f>Q55*0.15</f>
        <v>32142.869999999995</v>
      </c>
      <c r="S55" s="202" t="s">
        <v>26</v>
      </c>
      <c r="T55" s="434">
        <v>0</v>
      </c>
      <c r="U55" s="202"/>
      <c r="V55" s="434">
        <f t="shared" si="14"/>
        <v>32142.869999999995</v>
      </c>
      <c r="W55" s="434">
        <f t="shared" si="12"/>
        <v>5142.859199999999</v>
      </c>
      <c r="X55" s="434">
        <f t="shared" si="13"/>
        <v>37285.729199999994</v>
      </c>
      <c r="Y55" s="202" t="s">
        <v>340</v>
      </c>
      <c r="Z55" s="202" t="s">
        <v>340</v>
      </c>
      <c r="AA55" s="202" t="s">
        <v>1811</v>
      </c>
      <c r="AB55" s="202" t="s">
        <v>24</v>
      </c>
      <c r="AC55" s="202"/>
      <c r="AD55" s="202"/>
    </row>
    <row r="56" spans="1:30" ht="25.95" hidden="1" customHeight="1" x14ac:dyDescent="0.3">
      <c r="A56" s="196" t="s">
        <v>1326</v>
      </c>
      <c r="B56" s="196" t="s">
        <v>1327</v>
      </c>
      <c r="C56" s="413" t="s">
        <v>1516</v>
      </c>
      <c r="D56" s="196" t="s">
        <v>1547</v>
      </c>
      <c r="E56" s="414" t="s">
        <v>1890</v>
      </c>
      <c r="F56" s="413" t="s">
        <v>1891</v>
      </c>
      <c r="G56" s="414" t="s">
        <v>1437</v>
      </c>
      <c r="H56" s="414" t="s">
        <v>1892</v>
      </c>
      <c r="I56" s="411">
        <v>45776</v>
      </c>
      <c r="J56" s="196" t="s">
        <v>99</v>
      </c>
      <c r="K56" s="196" t="s">
        <v>1246</v>
      </c>
      <c r="L56" s="196" t="s">
        <v>57</v>
      </c>
      <c r="M56" s="196" t="s">
        <v>1248</v>
      </c>
      <c r="N56" s="196" t="s">
        <v>1249</v>
      </c>
      <c r="O56" s="196" t="s">
        <v>1250</v>
      </c>
      <c r="P56" s="401" t="s">
        <v>25</v>
      </c>
      <c r="Q56" s="192">
        <v>3084390.32</v>
      </c>
      <c r="R56" s="192">
        <f>Q56*0.15</f>
        <v>462658.54799999995</v>
      </c>
      <c r="S56" s="192" t="s">
        <v>26</v>
      </c>
      <c r="T56" s="192">
        <v>0</v>
      </c>
      <c r="U56" s="196"/>
      <c r="V56" s="192">
        <f t="shared" si="14"/>
        <v>462658.54799999995</v>
      </c>
      <c r="W56" s="192">
        <f t="shared" si="12"/>
        <v>74025.367679999996</v>
      </c>
      <c r="X56" s="192">
        <f t="shared" si="13"/>
        <v>536683.91567999998</v>
      </c>
      <c r="Y56" s="398" t="s">
        <v>27</v>
      </c>
      <c r="Z56" s="398" t="s">
        <v>27</v>
      </c>
      <c r="AA56" s="398" t="s">
        <v>27</v>
      </c>
      <c r="AB56" s="196" t="s">
        <v>24</v>
      </c>
      <c r="AC56" s="196" t="s">
        <v>84</v>
      </c>
      <c r="AD56" s="402"/>
    </row>
    <row r="57" spans="1:30" ht="25.95" hidden="1" customHeight="1" x14ac:dyDescent="0.3">
      <c r="A57" s="196" t="s">
        <v>1326</v>
      </c>
      <c r="B57" s="196" t="s">
        <v>1328</v>
      </c>
      <c r="C57" s="413" t="s">
        <v>1516</v>
      </c>
      <c r="D57" s="196" t="s">
        <v>1547</v>
      </c>
      <c r="E57" s="414" t="s">
        <v>1250</v>
      </c>
      <c r="F57" s="413" t="s">
        <v>1250</v>
      </c>
      <c r="G57" s="414" t="s">
        <v>1652</v>
      </c>
      <c r="H57" s="414" t="s">
        <v>1653</v>
      </c>
      <c r="I57" s="411">
        <v>45761</v>
      </c>
      <c r="J57" s="196" t="s">
        <v>99</v>
      </c>
      <c r="K57" s="196" t="s">
        <v>1246</v>
      </c>
      <c r="L57" s="196" t="s">
        <v>57</v>
      </c>
      <c r="M57" s="196" t="s">
        <v>1248</v>
      </c>
      <c r="N57" s="196" t="s">
        <v>1249</v>
      </c>
      <c r="O57" s="196" t="s">
        <v>1250</v>
      </c>
      <c r="P57" s="401" t="s">
        <v>25</v>
      </c>
      <c r="Q57" s="192">
        <v>5072.47</v>
      </c>
      <c r="R57" s="192">
        <f>Q57*0.15</f>
        <v>760.87049999999999</v>
      </c>
      <c r="S57" s="192" t="s">
        <v>26</v>
      </c>
      <c r="T57" s="192">
        <v>0</v>
      </c>
      <c r="U57" s="196"/>
      <c r="V57" s="192">
        <f t="shared" si="14"/>
        <v>760.87049999999999</v>
      </c>
      <c r="W57" s="192">
        <f t="shared" si="12"/>
        <v>121.73928000000001</v>
      </c>
      <c r="X57" s="192">
        <f t="shared" si="13"/>
        <v>882.60978</v>
      </c>
      <c r="Y57" s="398" t="s">
        <v>27</v>
      </c>
      <c r="Z57" s="398" t="s">
        <v>27</v>
      </c>
      <c r="AA57" s="398" t="s">
        <v>27</v>
      </c>
      <c r="AB57" s="196" t="s">
        <v>24</v>
      </c>
      <c r="AC57" s="196" t="s">
        <v>99</v>
      </c>
      <c r="AD57" s="196"/>
    </row>
    <row r="58" spans="1:30" ht="25.95" hidden="1" customHeight="1" x14ac:dyDescent="0.3">
      <c r="A58" s="196" t="s">
        <v>999</v>
      </c>
      <c r="B58" s="196" t="s">
        <v>1000</v>
      </c>
      <c r="C58" s="413" t="s">
        <v>1516</v>
      </c>
      <c r="D58" s="196" t="s">
        <v>1547</v>
      </c>
      <c r="E58" s="414" t="s">
        <v>1250</v>
      </c>
      <c r="F58" s="413" t="s">
        <v>1250</v>
      </c>
      <c r="G58" s="414" t="s">
        <v>1436</v>
      </c>
      <c r="H58" s="414" t="s">
        <v>1893</v>
      </c>
      <c r="I58" s="411">
        <v>45806</v>
      </c>
      <c r="J58" s="196" t="s">
        <v>84</v>
      </c>
      <c r="K58" s="196" t="s">
        <v>1246</v>
      </c>
      <c r="L58" s="196" t="s">
        <v>71</v>
      </c>
      <c r="M58" s="196" t="s">
        <v>1248</v>
      </c>
      <c r="N58" s="196" t="s">
        <v>1249</v>
      </c>
      <c r="O58" s="196" t="s">
        <v>1250</v>
      </c>
      <c r="P58" s="401" t="s">
        <v>315</v>
      </c>
      <c r="Q58" s="192">
        <v>213245.58499999999</v>
      </c>
      <c r="R58" s="192">
        <f>Q58*0.15</f>
        <v>31986.837749999999</v>
      </c>
      <c r="S58" s="192" t="s">
        <v>26</v>
      </c>
      <c r="T58" s="192">
        <v>0</v>
      </c>
      <c r="U58" s="196"/>
      <c r="V58" s="192">
        <f t="shared" si="14"/>
        <v>31986.837749999999</v>
      </c>
      <c r="W58" s="192">
        <f t="shared" si="12"/>
        <v>5117.8940400000001</v>
      </c>
      <c r="X58" s="192">
        <f t="shared" si="13"/>
        <v>37104.731789999998</v>
      </c>
      <c r="Y58" s="398" t="s">
        <v>27</v>
      </c>
      <c r="Z58" s="398" t="s">
        <v>1987</v>
      </c>
      <c r="AA58" s="398" t="s">
        <v>27</v>
      </c>
      <c r="AB58" s="196" t="s">
        <v>24</v>
      </c>
      <c r="AC58" s="196" t="s">
        <v>144</v>
      </c>
      <c r="AD58" s="196" t="s">
        <v>1804</v>
      </c>
    </row>
    <row r="59" spans="1:30" ht="25.95" hidden="1" customHeight="1" x14ac:dyDescent="0.3">
      <c r="A59" s="196" t="s">
        <v>1341</v>
      </c>
      <c r="B59" s="430" t="s">
        <v>1342</v>
      </c>
      <c r="C59" s="413" t="s">
        <v>1894</v>
      </c>
      <c r="D59" s="196" t="s">
        <v>1547</v>
      </c>
      <c r="E59" s="414" t="s">
        <v>1895</v>
      </c>
      <c r="F59" s="413" t="s">
        <v>1458</v>
      </c>
      <c r="G59" s="414" t="s">
        <v>1440</v>
      </c>
      <c r="H59" s="414" t="s">
        <v>1896</v>
      </c>
      <c r="I59" s="411">
        <v>45757</v>
      </c>
      <c r="J59" s="196" t="s">
        <v>99</v>
      </c>
      <c r="K59" s="196" t="s">
        <v>1246</v>
      </c>
      <c r="L59" s="196" t="s">
        <v>57</v>
      </c>
      <c r="M59" s="196" t="s">
        <v>417</v>
      </c>
      <c r="N59" s="196" t="s">
        <v>1249</v>
      </c>
      <c r="O59" s="196" t="s">
        <v>1250</v>
      </c>
      <c r="P59" s="401" t="s">
        <v>47</v>
      </c>
      <c r="Q59" s="192">
        <v>588028.93999999994</v>
      </c>
      <c r="R59" s="192">
        <f>Q59*0.2</f>
        <v>117605.788</v>
      </c>
      <c r="S59" s="410" t="s">
        <v>1273</v>
      </c>
      <c r="T59" s="192">
        <f>R59*0.5</f>
        <v>58802.894</v>
      </c>
      <c r="U59" s="197" t="s">
        <v>340</v>
      </c>
      <c r="V59" s="192">
        <f>R59*0.5</f>
        <v>58802.894</v>
      </c>
      <c r="W59" s="192">
        <f t="shared" si="12"/>
        <v>18816.926080000001</v>
      </c>
      <c r="X59" s="192">
        <f t="shared" si="13"/>
        <v>136422.71408000001</v>
      </c>
      <c r="Y59" s="398" t="s">
        <v>27</v>
      </c>
      <c r="Z59" s="398" t="s">
        <v>27</v>
      </c>
      <c r="AA59" s="398" t="s">
        <v>27</v>
      </c>
      <c r="AB59" s="196" t="s">
        <v>1506</v>
      </c>
      <c r="AC59" s="196" t="s">
        <v>84</v>
      </c>
      <c r="AD59" s="196"/>
    </row>
    <row r="60" spans="1:30" ht="25.95" hidden="1" customHeight="1" x14ac:dyDescent="0.3">
      <c r="A60" s="196" t="s">
        <v>1341</v>
      </c>
      <c r="B60" s="196" t="s">
        <v>1342</v>
      </c>
      <c r="C60" s="413" t="s">
        <v>1516</v>
      </c>
      <c r="D60" s="196" t="s">
        <v>1547</v>
      </c>
      <c r="E60" s="414" t="s">
        <v>1897</v>
      </c>
      <c r="F60" s="413" t="s">
        <v>1458</v>
      </c>
      <c r="G60" s="414" t="s">
        <v>1441</v>
      </c>
      <c r="H60" s="414" t="s">
        <v>1568</v>
      </c>
      <c r="I60" s="411">
        <v>45757</v>
      </c>
      <c r="J60" s="196" t="s">
        <v>99</v>
      </c>
      <c r="K60" s="196" t="s">
        <v>1246</v>
      </c>
      <c r="L60" s="196" t="s">
        <v>1281</v>
      </c>
      <c r="M60" s="196" t="s">
        <v>417</v>
      </c>
      <c r="N60" s="196" t="s">
        <v>1249</v>
      </c>
      <c r="O60" s="196" t="s">
        <v>1250</v>
      </c>
      <c r="P60" s="401" t="s">
        <v>47</v>
      </c>
      <c r="Q60" s="192">
        <v>162197.79</v>
      </c>
      <c r="R60" s="192">
        <f>Q60*0.12</f>
        <v>19463.734800000002</v>
      </c>
      <c r="S60" s="192" t="s">
        <v>26</v>
      </c>
      <c r="T60" s="192">
        <v>0</v>
      </c>
      <c r="U60" s="196"/>
      <c r="V60" s="192">
        <f>R60</f>
        <v>19463.734800000002</v>
      </c>
      <c r="W60" s="192">
        <f t="shared" si="12"/>
        <v>3114.1975680000005</v>
      </c>
      <c r="X60" s="192">
        <f t="shared" si="13"/>
        <v>22577.932368000002</v>
      </c>
      <c r="Y60" s="398" t="s">
        <v>27</v>
      </c>
      <c r="Z60" s="398" t="s">
        <v>27</v>
      </c>
      <c r="AA60" s="398" t="s">
        <v>27</v>
      </c>
      <c r="AB60" s="196" t="s">
        <v>1505</v>
      </c>
      <c r="AC60" s="196" t="s">
        <v>84</v>
      </c>
      <c r="AD60" s="196"/>
    </row>
    <row r="61" spans="1:30" ht="25.95" hidden="1" customHeight="1" x14ac:dyDescent="0.3">
      <c r="A61" s="196" t="s">
        <v>1341</v>
      </c>
      <c r="B61" s="196" t="s">
        <v>1826</v>
      </c>
      <c r="C61" s="413" t="s">
        <v>1516</v>
      </c>
      <c r="D61" s="196" t="s">
        <v>1547</v>
      </c>
      <c r="E61" s="414">
        <v>45870</v>
      </c>
      <c r="F61" s="413" t="s">
        <v>1458</v>
      </c>
      <c r="G61" s="414" t="s">
        <v>1827</v>
      </c>
      <c r="H61" s="414" t="s">
        <v>2034</v>
      </c>
      <c r="I61" s="411">
        <v>45859</v>
      </c>
      <c r="J61" s="196" t="s">
        <v>73</v>
      </c>
      <c r="K61" s="196" t="s">
        <v>1246</v>
      </c>
      <c r="L61" s="196" t="s">
        <v>1281</v>
      </c>
      <c r="M61" s="196" t="s">
        <v>417</v>
      </c>
      <c r="N61" s="196" t="s">
        <v>1249</v>
      </c>
      <c r="O61" s="196" t="s">
        <v>1250</v>
      </c>
      <c r="P61" s="401" t="s">
        <v>47</v>
      </c>
      <c r="Q61" s="192">
        <v>88471.52</v>
      </c>
      <c r="R61" s="192">
        <f>Q61*0.12</f>
        <v>10616.582399999999</v>
      </c>
      <c r="S61" s="192" t="s">
        <v>26</v>
      </c>
      <c r="T61" s="192">
        <f>0</f>
        <v>0</v>
      </c>
      <c r="U61" s="196"/>
      <c r="V61" s="192">
        <f>R61</f>
        <v>10616.582399999999</v>
      </c>
      <c r="W61" s="192">
        <f t="shared" si="12"/>
        <v>1698.653184</v>
      </c>
      <c r="X61" s="192">
        <f t="shared" si="13"/>
        <v>12315.235584</v>
      </c>
      <c r="Y61" s="398" t="s">
        <v>27</v>
      </c>
      <c r="Z61" s="398" t="s">
        <v>27</v>
      </c>
      <c r="AA61" s="398" t="s">
        <v>27</v>
      </c>
      <c r="AB61" s="196" t="s">
        <v>1505</v>
      </c>
      <c r="AC61" s="196" t="s">
        <v>73</v>
      </c>
      <c r="AD61" s="196"/>
    </row>
    <row r="62" spans="1:30" ht="25.95" hidden="1" customHeight="1" x14ac:dyDescent="0.3">
      <c r="A62" s="196" t="s">
        <v>1344</v>
      </c>
      <c r="B62" s="430" t="s">
        <v>1345</v>
      </c>
      <c r="C62" s="413" t="s">
        <v>1898</v>
      </c>
      <c r="D62" s="196" t="s">
        <v>1547</v>
      </c>
      <c r="E62" s="414" t="s">
        <v>1899</v>
      </c>
      <c r="F62" s="413" t="s">
        <v>1458</v>
      </c>
      <c r="G62" s="414" t="s">
        <v>1444</v>
      </c>
      <c r="H62" s="414" t="s">
        <v>1900</v>
      </c>
      <c r="I62" s="411">
        <v>45772</v>
      </c>
      <c r="J62" s="196" t="s">
        <v>99</v>
      </c>
      <c r="K62" s="196" t="s">
        <v>1246</v>
      </c>
      <c r="L62" s="196" t="s">
        <v>57</v>
      </c>
      <c r="M62" s="196" t="s">
        <v>1340</v>
      </c>
      <c r="N62" s="196" t="s">
        <v>1249</v>
      </c>
      <c r="O62" s="196" t="s">
        <v>1250</v>
      </c>
      <c r="P62" s="401" t="s">
        <v>47</v>
      </c>
      <c r="Q62" s="192">
        <v>17975.38</v>
      </c>
      <c r="R62" s="192">
        <f>Q62*0.2</f>
        <v>3595.0760000000005</v>
      </c>
      <c r="S62" s="410" t="s">
        <v>1273</v>
      </c>
      <c r="T62" s="192">
        <f>R62*0.5</f>
        <v>1797.5380000000002</v>
      </c>
      <c r="U62" s="197" t="s">
        <v>340</v>
      </c>
      <c r="V62" s="192">
        <f>R62*0.5</f>
        <v>1797.5380000000002</v>
      </c>
      <c r="W62" s="192">
        <f t="shared" si="12"/>
        <v>575.21216000000004</v>
      </c>
      <c r="X62" s="192">
        <f t="shared" si="13"/>
        <v>4170.2881600000001</v>
      </c>
      <c r="Y62" s="398" t="s">
        <v>27</v>
      </c>
      <c r="Z62" s="398" t="s">
        <v>1986</v>
      </c>
      <c r="AA62" s="398" t="s">
        <v>27</v>
      </c>
      <c r="AB62" s="196" t="s">
        <v>1506</v>
      </c>
      <c r="AC62" s="196" t="s">
        <v>119</v>
      </c>
      <c r="AD62" s="196"/>
    </row>
    <row r="63" spans="1:30" ht="25.95" hidden="1" customHeight="1" x14ac:dyDescent="0.3">
      <c r="A63" s="196" t="s">
        <v>1344</v>
      </c>
      <c r="B63" s="196" t="s">
        <v>1345</v>
      </c>
      <c r="C63" s="413" t="s">
        <v>1516</v>
      </c>
      <c r="D63" s="196" t="s">
        <v>1547</v>
      </c>
      <c r="E63" s="414" t="s">
        <v>1901</v>
      </c>
      <c r="F63" s="413" t="s">
        <v>1250</v>
      </c>
      <c r="G63" s="414" t="s">
        <v>1445</v>
      </c>
      <c r="H63" s="414" t="s">
        <v>1570</v>
      </c>
      <c r="I63" s="411">
        <v>45757</v>
      </c>
      <c r="J63" s="196" t="s">
        <v>99</v>
      </c>
      <c r="K63" s="196" t="s">
        <v>1246</v>
      </c>
      <c r="L63" s="196" t="s">
        <v>1281</v>
      </c>
      <c r="M63" s="196" t="s">
        <v>417</v>
      </c>
      <c r="N63" s="196" t="s">
        <v>1249</v>
      </c>
      <c r="O63" s="196" t="s">
        <v>1250</v>
      </c>
      <c r="P63" s="401" t="s">
        <v>47</v>
      </c>
      <c r="Q63" s="192">
        <v>30109.86</v>
      </c>
      <c r="R63" s="192">
        <f>Q63*0.12</f>
        <v>3613.1831999999999</v>
      </c>
      <c r="S63" s="192" t="s">
        <v>26</v>
      </c>
      <c r="T63" s="192">
        <v>0</v>
      </c>
      <c r="U63" s="196"/>
      <c r="V63" s="192">
        <f t="shared" ref="V63:V73" si="15">R63</f>
        <v>3613.1831999999999</v>
      </c>
      <c r="W63" s="192">
        <f t="shared" si="12"/>
        <v>578.10931200000005</v>
      </c>
      <c r="X63" s="192">
        <f t="shared" si="13"/>
        <v>4191.292512</v>
      </c>
      <c r="Y63" s="398" t="s">
        <v>27</v>
      </c>
      <c r="Z63" s="398" t="s">
        <v>1986</v>
      </c>
      <c r="AA63" s="398" t="s">
        <v>27</v>
      </c>
      <c r="AB63" s="196" t="s">
        <v>1505</v>
      </c>
      <c r="AC63" s="196" t="s">
        <v>119</v>
      </c>
      <c r="AD63" s="196"/>
    </row>
    <row r="64" spans="1:30" ht="25.95" hidden="1" customHeight="1" x14ac:dyDescent="0.3">
      <c r="A64" s="196" t="s">
        <v>670</v>
      </c>
      <c r="B64" s="196" t="s">
        <v>710</v>
      </c>
      <c r="C64" s="413" t="s">
        <v>1902</v>
      </c>
      <c r="D64" s="196" t="s">
        <v>1547</v>
      </c>
      <c r="E64" s="414" t="s">
        <v>1450</v>
      </c>
      <c r="F64" s="413" t="s">
        <v>1250</v>
      </c>
      <c r="G64" s="414" t="s">
        <v>1451</v>
      </c>
      <c r="H64" s="414" t="s">
        <v>1903</v>
      </c>
      <c r="I64" s="411">
        <v>45755</v>
      </c>
      <c r="J64" s="196" t="s">
        <v>99</v>
      </c>
      <c r="K64" s="196" t="s">
        <v>1246</v>
      </c>
      <c r="L64" s="196" t="s">
        <v>1350</v>
      </c>
      <c r="M64" s="196" t="s">
        <v>1248</v>
      </c>
      <c r="N64" s="196" t="s">
        <v>1249</v>
      </c>
      <c r="O64" s="196" t="s">
        <v>1250</v>
      </c>
      <c r="P64" s="401" t="s">
        <v>25</v>
      </c>
      <c r="Q64" s="192">
        <v>19678.5</v>
      </c>
      <c r="R64" s="192">
        <f>Q64*0.15</f>
        <v>2951.7750000000001</v>
      </c>
      <c r="S64" s="192" t="s">
        <v>26</v>
      </c>
      <c r="T64" s="192">
        <v>0</v>
      </c>
      <c r="U64" s="196"/>
      <c r="V64" s="192">
        <f t="shared" si="15"/>
        <v>2951.7750000000001</v>
      </c>
      <c r="W64" s="192">
        <f t="shared" si="12"/>
        <v>472.28400000000005</v>
      </c>
      <c r="X64" s="192">
        <f t="shared" si="13"/>
        <v>3424.0590000000002</v>
      </c>
      <c r="Y64" s="398" t="s">
        <v>27</v>
      </c>
      <c r="Z64" s="398" t="s">
        <v>27</v>
      </c>
      <c r="AA64" s="398" t="s">
        <v>27</v>
      </c>
      <c r="AB64" s="196" t="s">
        <v>155</v>
      </c>
      <c r="AC64" s="196" t="s">
        <v>84</v>
      </c>
      <c r="AD64" s="196"/>
    </row>
    <row r="65" spans="1:30" ht="25.95" hidden="1" customHeight="1" x14ac:dyDescent="0.3">
      <c r="A65" s="196" t="s">
        <v>1355</v>
      </c>
      <c r="B65" s="196" t="s">
        <v>1356</v>
      </c>
      <c r="C65" s="413" t="s">
        <v>1516</v>
      </c>
      <c r="D65" s="196" t="s">
        <v>1547</v>
      </c>
      <c r="E65" s="414" t="s">
        <v>1250</v>
      </c>
      <c r="F65" s="413" t="s">
        <v>1250</v>
      </c>
      <c r="G65" s="414" t="s">
        <v>1665</v>
      </c>
      <c r="H65" s="414" t="s">
        <v>1725</v>
      </c>
      <c r="I65" s="411">
        <v>45750</v>
      </c>
      <c r="J65" s="196" t="s">
        <v>99</v>
      </c>
      <c r="K65" s="196" t="s">
        <v>1246</v>
      </c>
      <c r="L65" s="196" t="s">
        <v>57</v>
      </c>
      <c r="M65" s="196" t="s">
        <v>1271</v>
      </c>
      <c r="N65" s="196" t="s">
        <v>1249</v>
      </c>
      <c r="O65" s="196" t="s">
        <v>1250</v>
      </c>
      <c r="P65" s="401" t="s">
        <v>47</v>
      </c>
      <c r="Q65" s="192">
        <v>28750</v>
      </c>
      <c r="R65" s="192">
        <v>747.28</v>
      </c>
      <c r="S65" s="192" t="s">
        <v>26</v>
      </c>
      <c r="T65" s="192">
        <v>0</v>
      </c>
      <c r="U65" s="196"/>
      <c r="V65" s="192">
        <f t="shared" si="15"/>
        <v>747.28</v>
      </c>
      <c r="W65" s="192">
        <f t="shared" si="12"/>
        <v>119.56479999999999</v>
      </c>
      <c r="X65" s="192">
        <f t="shared" si="13"/>
        <v>866.84479999999996</v>
      </c>
      <c r="Y65" s="398" t="s">
        <v>27</v>
      </c>
      <c r="Z65" s="398" t="s">
        <v>27</v>
      </c>
      <c r="AA65" s="398" t="s">
        <v>27</v>
      </c>
      <c r="AB65" s="196" t="s">
        <v>24</v>
      </c>
      <c r="AC65" s="196" t="s">
        <v>99</v>
      </c>
      <c r="AD65" s="196"/>
    </row>
    <row r="66" spans="1:30" ht="25.95" hidden="1" customHeight="1" x14ac:dyDescent="0.3">
      <c r="A66" s="196" t="s">
        <v>1362</v>
      </c>
      <c r="B66" s="196" t="s">
        <v>1363</v>
      </c>
      <c r="C66" s="413" t="s">
        <v>1516</v>
      </c>
      <c r="D66" s="196" t="s">
        <v>1547</v>
      </c>
      <c r="E66" s="414" t="s">
        <v>1250</v>
      </c>
      <c r="F66" s="413" t="s">
        <v>1250</v>
      </c>
      <c r="G66" s="414" t="s">
        <v>1483</v>
      </c>
      <c r="H66" s="414" t="s">
        <v>1904</v>
      </c>
      <c r="I66" s="411">
        <v>45771</v>
      </c>
      <c r="J66" s="196" t="s">
        <v>99</v>
      </c>
      <c r="K66" s="196" t="s">
        <v>1486</v>
      </c>
      <c r="L66" s="196" t="s">
        <v>1364</v>
      </c>
      <c r="M66" s="196" t="s">
        <v>1248</v>
      </c>
      <c r="N66" s="196" t="s">
        <v>1249</v>
      </c>
      <c r="O66" s="196" t="s">
        <v>1250</v>
      </c>
      <c r="P66" s="401" t="s">
        <v>769</v>
      </c>
      <c r="Q66" s="192">
        <v>51266</v>
      </c>
      <c r="R66" s="192">
        <v>8715.2199999999993</v>
      </c>
      <c r="S66" s="192" t="s">
        <v>26</v>
      </c>
      <c r="T66" s="192">
        <v>0</v>
      </c>
      <c r="U66" s="196"/>
      <c r="V66" s="192">
        <f t="shared" si="15"/>
        <v>8715.2199999999993</v>
      </c>
      <c r="W66" s="192">
        <f t="shared" si="12"/>
        <v>1394.4351999999999</v>
      </c>
      <c r="X66" s="192">
        <f t="shared" si="13"/>
        <v>10109.655199999999</v>
      </c>
      <c r="Y66" s="398" t="s">
        <v>27</v>
      </c>
      <c r="Z66" s="398" t="s">
        <v>27</v>
      </c>
      <c r="AA66" s="398" t="s">
        <v>27</v>
      </c>
      <c r="AB66" s="196" t="s">
        <v>24</v>
      </c>
      <c r="AC66" s="196" t="s">
        <v>119</v>
      </c>
      <c r="AD66" s="196"/>
    </row>
    <row r="67" spans="1:30" ht="25.95" hidden="1" customHeight="1" x14ac:dyDescent="0.3">
      <c r="A67" s="196" t="s">
        <v>1362</v>
      </c>
      <c r="B67" s="196" t="s">
        <v>1365</v>
      </c>
      <c r="C67" s="413" t="s">
        <v>1516</v>
      </c>
      <c r="D67" s="196" t="s">
        <v>1547</v>
      </c>
      <c r="E67" s="414" t="s">
        <v>1250</v>
      </c>
      <c r="F67" s="413" t="s">
        <v>1250</v>
      </c>
      <c r="G67" s="414" t="s">
        <v>1484</v>
      </c>
      <c r="H67" s="414" t="s">
        <v>1905</v>
      </c>
      <c r="I67" s="411">
        <v>45763</v>
      </c>
      <c r="J67" s="196" t="s">
        <v>99</v>
      </c>
      <c r="K67" s="196" t="s">
        <v>1486</v>
      </c>
      <c r="L67" s="196" t="s">
        <v>1364</v>
      </c>
      <c r="M67" s="196" t="s">
        <v>1248</v>
      </c>
      <c r="N67" s="196" t="s">
        <v>1249</v>
      </c>
      <c r="O67" s="196" t="s">
        <v>1250</v>
      </c>
      <c r="P67" s="401" t="s">
        <v>769</v>
      </c>
      <c r="Q67" s="192">
        <v>35400</v>
      </c>
      <c r="R67" s="192">
        <v>6018</v>
      </c>
      <c r="S67" s="192" t="s">
        <v>26</v>
      </c>
      <c r="T67" s="192">
        <v>0</v>
      </c>
      <c r="U67" s="196"/>
      <c r="V67" s="192">
        <f t="shared" si="15"/>
        <v>6018</v>
      </c>
      <c r="W67" s="192">
        <f t="shared" si="12"/>
        <v>962.88</v>
      </c>
      <c r="X67" s="192">
        <f t="shared" si="13"/>
        <v>6980.88</v>
      </c>
      <c r="Y67" s="398" t="s">
        <v>27</v>
      </c>
      <c r="Z67" s="398" t="s">
        <v>27</v>
      </c>
      <c r="AA67" s="398" t="s">
        <v>27</v>
      </c>
      <c r="AB67" s="196" t="s">
        <v>24</v>
      </c>
      <c r="AC67" s="196" t="s">
        <v>119</v>
      </c>
      <c r="AD67" s="196"/>
    </row>
    <row r="68" spans="1:30" ht="25.95" hidden="1" customHeight="1" x14ac:dyDescent="0.3">
      <c r="A68" s="196" t="s">
        <v>1362</v>
      </c>
      <c r="B68" s="196" t="s">
        <v>1366</v>
      </c>
      <c r="C68" s="413" t="s">
        <v>1516</v>
      </c>
      <c r="D68" s="196" t="s">
        <v>1547</v>
      </c>
      <c r="E68" s="414" t="s">
        <v>1250</v>
      </c>
      <c r="F68" s="413" t="s">
        <v>1250</v>
      </c>
      <c r="G68" s="414" t="s">
        <v>1485</v>
      </c>
      <c r="H68" s="414" t="s">
        <v>1906</v>
      </c>
      <c r="I68" s="411">
        <v>45763</v>
      </c>
      <c r="J68" s="196" t="s">
        <v>99</v>
      </c>
      <c r="K68" s="196" t="s">
        <v>1486</v>
      </c>
      <c r="L68" s="196" t="s">
        <v>1364</v>
      </c>
      <c r="M68" s="196" t="s">
        <v>1248</v>
      </c>
      <c r="N68" s="196" t="s">
        <v>1249</v>
      </c>
      <c r="O68" s="196" t="s">
        <v>1250</v>
      </c>
      <c r="P68" s="401" t="s">
        <v>769</v>
      </c>
      <c r="Q68" s="192">
        <v>38066</v>
      </c>
      <c r="R68" s="192">
        <v>6471.22</v>
      </c>
      <c r="S68" s="192" t="s">
        <v>26</v>
      </c>
      <c r="T68" s="192">
        <v>0</v>
      </c>
      <c r="U68" s="196"/>
      <c r="V68" s="192">
        <f t="shared" si="15"/>
        <v>6471.22</v>
      </c>
      <c r="W68" s="192">
        <f t="shared" si="12"/>
        <v>1035.3952000000002</v>
      </c>
      <c r="X68" s="192">
        <f t="shared" si="13"/>
        <v>7506.6152000000002</v>
      </c>
      <c r="Y68" s="398" t="s">
        <v>27</v>
      </c>
      <c r="Z68" s="398" t="s">
        <v>27</v>
      </c>
      <c r="AA68" s="398" t="s">
        <v>27</v>
      </c>
      <c r="AB68" s="196" t="s">
        <v>24</v>
      </c>
      <c r="AC68" s="196" t="s">
        <v>119</v>
      </c>
      <c r="AD68" s="196"/>
    </row>
    <row r="69" spans="1:30" ht="25.95" hidden="1" customHeight="1" x14ac:dyDescent="0.3">
      <c r="A69" s="196" t="s">
        <v>1362</v>
      </c>
      <c r="B69" s="196" t="s">
        <v>1368</v>
      </c>
      <c r="C69" s="413" t="s">
        <v>1516</v>
      </c>
      <c r="D69" s="196" t="s">
        <v>1547</v>
      </c>
      <c r="E69" s="414" t="s">
        <v>1250</v>
      </c>
      <c r="F69" s="413" t="s">
        <v>1250</v>
      </c>
      <c r="G69" s="414" t="s">
        <v>1496</v>
      </c>
      <c r="H69" s="414" t="s">
        <v>1907</v>
      </c>
      <c r="I69" s="411">
        <v>45751</v>
      </c>
      <c r="J69" s="196" t="s">
        <v>99</v>
      </c>
      <c r="K69" s="196" t="s">
        <v>1486</v>
      </c>
      <c r="L69" s="196" t="s">
        <v>1364</v>
      </c>
      <c r="M69" s="196" t="s">
        <v>1248</v>
      </c>
      <c r="N69" s="196" t="s">
        <v>1249</v>
      </c>
      <c r="O69" s="196" t="s">
        <v>1250</v>
      </c>
      <c r="P69" s="401" t="s">
        <v>472</v>
      </c>
      <c r="Q69" s="192">
        <v>0</v>
      </c>
      <c r="R69" s="192">
        <v>0</v>
      </c>
      <c r="S69" s="192" t="s">
        <v>26</v>
      </c>
      <c r="T69" s="192">
        <v>0</v>
      </c>
      <c r="U69" s="196"/>
      <c r="V69" s="192">
        <f t="shared" si="15"/>
        <v>0</v>
      </c>
      <c r="W69" s="192">
        <f t="shared" si="12"/>
        <v>0</v>
      </c>
      <c r="X69" s="192">
        <f t="shared" si="13"/>
        <v>0</v>
      </c>
      <c r="Y69" s="398" t="s">
        <v>27</v>
      </c>
      <c r="Z69" s="398" t="s">
        <v>27</v>
      </c>
      <c r="AA69" s="398" t="s">
        <v>27</v>
      </c>
      <c r="AB69" s="196" t="s">
        <v>24</v>
      </c>
      <c r="AC69" s="196" t="s">
        <v>119</v>
      </c>
      <c r="AD69" s="196"/>
    </row>
    <row r="70" spans="1:30" ht="25.95" hidden="1" customHeight="1" x14ac:dyDescent="0.3">
      <c r="A70" s="196" t="s">
        <v>1309</v>
      </c>
      <c r="B70" s="196" t="s">
        <v>1310</v>
      </c>
      <c r="C70" s="413" t="s">
        <v>1516</v>
      </c>
      <c r="D70" s="196" t="s">
        <v>1547</v>
      </c>
      <c r="E70" s="414" t="s">
        <v>1250</v>
      </c>
      <c r="F70" s="413" t="s">
        <v>1250</v>
      </c>
      <c r="G70" s="414" t="s">
        <v>2009</v>
      </c>
      <c r="H70" s="414" t="s">
        <v>1563</v>
      </c>
      <c r="I70" s="411">
        <v>45723</v>
      </c>
      <c r="J70" s="196" t="s">
        <v>28</v>
      </c>
      <c r="K70" s="196" t="s">
        <v>1246</v>
      </c>
      <c r="L70" s="196" t="s">
        <v>1463</v>
      </c>
      <c r="M70" s="196" t="s">
        <v>1248</v>
      </c>
      <c r="N70" s="196" t="s">
        <v>1249</v>
      </c>
      <c r="O70" s="196" t="s">
        <v>1250</v>
      </c>
      <c r="P70" s="401" t="s">
        <v>25</v>
      </c>
      <c r="Q70" s="192">
        <v>15345.68</v>
      </c>
      <c r="R70" s="192">
        <f>Q70*0.15</f>
        <v>2301.8519999999999</v>
      </c>
      <c r="S70" s="196" t="s">
        <v>26</v>
      </c>
      <c r="T70" s="192">
        <v>0</v>
      </c>
      <c r="U70" s="196"/>
      <c r="V70" s="192">
        <f t="shared" si="15"/>
        <v>2301.8519999999999</v>
      </c>
      <c r="W70" s="192">
        <f t="shared" si="12"/>
        <v>368.29631999999998</v>
      </c>
      <c r="X70" s="192">
        <f t="shared" si="13"/>
        <v>2670.1483199999998</v>
      </c>
      <c r="Y70" s="398" t="s">
        <v>27</v>
      </c>
      <c r="Z70" s="398" t="s">
        <v>27</v>
      </c>
      <c r="AA70" s="398" t="s">
        <v>27</v>
      </c>
      <c r="AB70" s="196" t="s">
        <v>24</v>
      </c>
      <c r="AC70" s="196" t="s">
        <v>28</v>
      </c>
      <c r="AD70" s="196"/>
    </row>
    <row r="71" spans="1:30" ht="25.95" hidden="1" customHeight="1" x14ac:dyDescent="0.3">
      <c r="A71" s="196" t="s">
        <v>1227</v>
      </c>
      <c r="B71" s="196" t="s">
        <v>1490</v>
      </c>
      <c r="C71" s="196" t="s">
        <v>1516</v>
      </c>
      <c r="D71" s="196" t="s">
        <v>1547</v>
      </c>
      <c r="E71" s="196" t="s">
        <v>1250</v>
      </c>
      <c r="F71" s="196" t="s">
        <v>1250</v>
      </c>
      <c r="G71" s="196" t="s">
        <v>2010</v>
      </c>
      <c r="H71" s="196" t="s">
        <v>1558</v>
      </c>
      <c r="I71" s="411">
        <v>45638</v>
      </c>
      <c r="J71" s="196" t="s">
        <v>223</v>
      </c>
      <c r="K71" s="196" t="s">
        <v>1246</v>
      </c>
      <c r="L71" s="196" t="s">
        <v>1463</v>
      </c>
      <c r="M71" s="196" t="s">
        <v>1248</v>
      </c>
      <c r="N71" s="196" t="s">
        <v>1249</v>
      </c>
      <c r="O71" s="196" t="s">
        <v>1250</v>
      </c>
      <c r="P71" s="401" t="s">
        <v>25</v>
      </c>
      <c r="Q71" s="192">
        <v>0</v>
      </c>
      <c r="R71" s="192">
        <f>Q71*0.15</f>
        <v>0</v>
      </c>
      <c r="S71" s="196" t="s">
        <v>26</v>
      </c>
      <c r="T71" s="192">
        <v>0</v>
      </c>
      <c r="U71" s="196"/>
      <c r="V71" s="409">
        <f t="shared" si="15"/>
        <v>0</v>
      </c>
      <c r="W71" s="409">
        <f t="shared" si="12"/>
        <v>0</v>
      </c>
      <c r="X71" s="409">
        <f t="shared" si="13"/>
        <v>0</v>
      </c>
      <c r="Y71" s="398" t="s">
        <v>27</v>
      </c>
      <c r="Z71" s="399" t="s">
        <v>1999</v>
      </c>
      <c r="AA71" s="398" t="s">
        <v>27</v>
      </c>
      <c r="AB71" s="196" t="s">
        <v>24</v>
      </c>
      <c r="AC71" s="196" t="s">
        <v>54</v>
      </c>
      <c r="AD71" s="196"/>
    </row>
    <row r="72" spans="1:30" ht="25.95" hidden="1" customHeight="1" x14ac:dyDescent="0.3">
      <c r="A72" s="196" t="s">
        <v>1227</v>
      </c>
      <c r="B72" s="196" t="s">
        <v>1308</v>
      </c>
      <c r="C72" s="413" t="s">
        <v>1516</v>
      </c>
      <c r="D72" s="196" t="s">
        <v>1547</v>
      </c>
      <c r="E72" s="414" t="s">
        <v>1250</v>
      </c>
      <c r="F72" s="413" t="s">
        <v>1250</v>
      </c>
      <c r="G72" s="414" t="s">
        <v>2002</v>
      </c>
      <c r="H72" s="414" t="s">
        <v>1559</v>
      </c>
      <c r="I72" s="411">
        <v>45737</v>
      </c>
      <c r="J72" s="196" t="s">
        <v>28</v>
      </c>
      <c r="K72" s="196" t="s">
        <v>1246</v>
      </c>
      <c r="L72" s="196" t="s">
        <v>57</v>
      </c>
      <c r="M72" s="196" t="s">
        <v>1248</v>
      </c>
      <c r="N72" s="196" t="s">
        <v>1249</v>
      </c>
      <c r="O72" s="196" t="s">
        <v>1250</v>
      </c>
      <c r="P72" s="401" t="s">
        <v>25</v>
      </c>
      <c r="Q72" s="192">
        <v>28666</v>
      </c>
      <c r="R72" s="192">
        <f>Q72*0.15</f>
        <v>4299.8999999999996</v>
      </c>
      <c r="S72" s="196" t="s">
        <v>26</v>
      </c>
      <c r="T72" s="192">
        <v>0</v>
      </c>
      <c r="U72" s="196"/>
      <c r="V72" s="192">
        <f t="shared" si="15"/>
        <v>4299.8999999999996</v>
      </c>
      <c r="W72" s="192">
        <f t="shared" si="12"/>
        <v>687.98399999999992</v>
      </c>
      <c r="X72" s="192">
        <f t="shared" si="13"/>
        <v>4987.884</v>
      </c>
      <c r="Y72" s="398" t="s">
        <v>27</v>
      </c>
      <c r="Z72" s="398" t="s">
        <v>27</v>
      </c>
      <c r="AA72" s="398" t="s">
        <v>27</v>
      </c>
      <c r="AB72" s="196" t="s">
        <v>24</v>
      </c>
      <c r="AC72" s="196" t="s">
        <v>99</v>
      </c>
      <c r="AD72" s="196"/>
    </row>
    <row r="73" spans="1:30" ht="25.95" hidden="1" customHeight="1" x14ac:dyDescent="0.3">
      <c r="A73" s="196" t="s">
        <v>1341</v>
      </c>
      <c r="B73" s="196" t="s">
        <v>1354</v>
      </c>
      <c r="C73" s="413" t="s">
        <v>1516</v>
      </c>
      <c r="D73" s="196" t="s">
        <v>1547</v>
      </c>
      <c r="E73" s="414" t="s">
        <v>1250</v>
      </c>
      <c r="F73" s="413" t="s">
        <v>1250</v>
      </c>
      <c r="G73" s="414" t="s">
        <v>1453</v>
      </c>
      <c r="H73" s="414" t="s">
        <v>1452</v>
      </c>
      <c r="I73" s="411">
        <v>45785</v>
      </c>
      <c r="J73" s="196" t="s">
        <v>84</v>
      </c>
      <c r="K73" s="196" t="s">
        <v>1246</v>
      </c>
      <c r="L73" s="196" t="s">
        <v>57</v>
      </c>
      <c r="M73" s="196" t="s">
        <v>1248</v>
      </c>
      <c r="N73" s="196" t="s">
        <v>1249</v>
      </c>
      <c r="O73" s="196" t="s">
        <v>1250</v>
      </c>
      <c r="P73" s="401" t="s">
        <v>25</v>
      </c>
      <c r="Q73" s="192">
        <v>110541.59</v>
      </c>
      <c r="R73" s="192">
        <f>Q73*0.15</f>
        <v>16581.238499999999</v>
      </c>
      <c r="S73" s="192" t="s">
        <v>26</v>
      </c>
      <c r="T73" s="192">
        <v>0</v>
      </c>
      <c r="U73" s="196"/>
      <c r="V73" s="192">
        <f t="shared" si="15"/>
        <v>16581.238499999999</v>
      </c>
      <c r="W73" s="192">
        <f t="shared" si="12"/>
        <v>2652.9981600000001</v>
      </c>
      <c r="X73" s="192">
        <f t="shared" si="13"/>
        <v>19234.236659999999</v>
      </c>
      <c r="Y73" s="398" t="s">
        <v>27</v>
      </c>
      <c r="Z73" s="398" t="s">
        <v>1985</v>
      </c>
      <c r="AA73" s="398" t="s">
        <v>27</v>
      </c>
      <c r="AB73" s="196" t="s">
        <v>24</v>
      </c>
      <c r="AC73" s="196" t="s">
        <v>73</v>
      </c>
      <c r="AD73" s="196"/>
    </row>
    <row r="74" spans="1:30" ht="25.95" hidden="1" customHeight="1" x14ac:dyDescent="0.3">
      <c r="A74" s="196" t="s">
        <v>528</v>
      </c>
      <c r="B74" s="196" t="s">
        <v>152</v>
      </c>
      <c r="C74" s="413" t="s">
        <v>1908</v>
      </c>
      <c r="D74" s="196" t="s">
        <v>1547</v>
      </c>
      <c r="E74" s="414" t="s">
        <v>1250</v>
      </c>
      <c r="F74" s="413" t="s">
        <v>1250</v>
      </c>
      <c r="G74" s="414" t="s">
        <v>1454</v>
      </c>
      <c r="H74" s="414" t="s">
        <v>1909</v>
      </c>
      <c r="I74" s="411">
        <v>45799</v>
      </c>
      <c r="J74" s="196" t="s">
        <v>84</v>
      </c>
      <c r="K74" s="196" t="s">
        <v>1246</v>
      </c>
      <c r="L74" s="196" t="s">
        <v>145</v>
      </c>
      <c r="M74" s="196" t="s">
        <v>1254</v>
      </c>
      <c r="N74" s="196" t="s">
        <v>1249</v>
      </c>
      <c r="O74" s="196" t="s">
        <v>46</v>
      </c>
      <c r="P74" s="401" t="s">
        <v>25</v>
      </c>
      <c r="Q74" s="192">
        <v>7952.44</v>
      </c>
      <c r="R74" s="192">
        <f>Q74*0.15</f>
        <v>1192.866</v>
      </c>
      <c r="S74" s="192" t="s">
        <v>72</v>
      </c>
      <c r="T74" s="192">
        <f>R74*0.6</f>
        <v>715.71960000000001</v>
      </c>
      <c r="U74" s="196"/>
      <c r="V74" s="192">
        <f>R74*0.4</f>
        <v>477.14640000000003</v>
      </c>
      <c r="W74" s="192">
        <f t="shared" si="12"/>
        <v>190.85856000000001</v>
      </c>
      <c r="X74" s="192">
        <f t="shared" si="13"/>
        <v>1383.7245600000001</v>
      </c>
      <c r="Y74" s="398" t="s">
        <v>27</v>
      </c>
      <c r="Z74" s="398" t="s">
        <v>27</v>
      </c>
      <c r="AA74" s="398" t="s">
        <v>27</v>
      </c>
      <c r="AB74" s="196" t="s">
        <v>46</v>
      </c>
      <c r="AC74" s="196" t="s">
        <v>119</v>
      </c>
      <c r="AD74" s="196"/>
    </row>
    <row r="75" spans="1:30" ht="25.95" hidden="1" customHeight="1" x14ac:dyDescent="0.3">
      <c r="A75" s="196" t="s">
        <v>1338</v>
      </c>
      <c r="B75" s="430" t="s">
        <v>1339</v>
      </c>
      <c r="C75" s="413" t="s">
        <v>1910</v>
      </c>
      <c r="D75" s="196" t="s">
        <v>1547</v>
      </c>
      <c r="E75" s="414" t="s">
        <v>1911</v>
      </c>
      <c r="F75" s="413" t="s">
        <v>1458</v>
      </c>
      <c r="G75" s="414" t="s">
        <v>1438</v>
      </c>
      <c r="H75" s="414" t="s">
        <v>1912</v>
      </c>
      <c r="I75" s="411">
        <v>45780</v>
      </c>
      <c r="J75" s="196" t="s">
        <v>84</v>
      </c>
      <c r="K75" s="196" t="s">
        <v>1246</v>
      </c>
      <c r="L75" s="196" t="s">
        <v>57</v>
      </c>
      <c r="M75" s="196" t="s">
        <v>417</v>
      </c>
      <c r="N75" s="196" t="s">
        <v>1249</v>
      </c>
      <c r="O75" s="196" t="s">
        <v>1250</v>
      </c>
      <c r="P75" s="401" t="s">
        <v>47</v>
      </c>
      <c r="Q75" s="192">
        <v>834617.67</v>
      </c>
      <c r="R75" s="192">
        <f>Q75*0.2</f>
        <v>166923.53400000001</v>
      </c>
      <c r="S75" s="410" t="s">
        <v>1273</v>
      </c>
      <c r="T75" s="192">
        <f>R75*0.5</f>
        <v>83461.767000000007</v>
      </c>
      <c r="U75" s="197" t="s">
        <v>340</v>
      </c>
      <c r="V75" s="192">
        <f>R75*0.5</f>
        <v>83461.767000000007</v>
      </c>
      <c r="W75" s="192">
        <f t="shared" si="12"/>
        <v>26707.765440000003</v>
      </c>
      <c r="X75" s="192">
        <f t="shared" si="13"/>
        <v>193631.29944000003</v>
      </c>
      <c r="Y75" s="398" t="s">
        <v>27</v>
      </c>
      <c r="Z75" s="398" t="s">
        <v>27</v>
      </c>
      <c r="AA75" s="398" t="s">
        <v>27</v>
      </c>
      <c r="AB75" s="196" t="s">
        <v>1506</v>
      </c>
      <c r="AC75" s="196" t="s">
        <v>84</v>
      </c>
      <c r="AD75" s="196"/>
    </row>
    <row r="76" spans="1:30" ht="25.95" hidden="1" customHeight="1" x14ac:dyDescent="0.3">
      <c r="A76" s="196" t="s">
        <v>1338</v>
      </c>
      <c r="B76" s="196" t="s">
        <v>1339</v>
      </c>
      <c r="C76" s="413" t="s">
        <v>1516</v>
      </c>
      <c r="D76" s="196" t="s">
        <v>1547</v>
      </c>
      <c r="E76" s="414" t="s">
        <v>1913</v>
      </c>
      <c r="F76" s="413" t="s">
        <v>1458</v>
      </c>
      <c r="G76" s="414" t="s">
        <v>1439</v>
      </c>
      <c r="H76" s="414" t="s">
        <v>1567</v>
      </c>
      <c r="I76" s="411">
        <v>45780</v>
      </c>
      <c r="J76" s="196" t="s">
        <v>84</v>
      </c>
      <c r="K76" s="196" t="s">
        <v>1246</v>
      </c>
      <c r="L76" s="196" t="s">
        <v>1281</v>
      </c>
      <c r="M76" s="196" t="s">
        <v>417</v>
      </c>
      <c r="N76" s="196" t="s">
        <v>1249</v>
      </c>
      <c r="O76" s="196" t="s">
        <v>1250</v>
      </c>
      <c r="P76" s="401" t="s">
        <v>47</v>
      </c>
      <c r="Q76" s="192">
        <v>122469.86</v>
      </c>
      <c r="R76" s="192">
        <f>Q76*0.12</f>
        <v>14696.3832</v>
      </c>
      <c r="S76" s="192" t="s">
        <v>26</v>
      </c>
      <c r="T76" s="192">
        <v>0</v>
      </c>
      <c r="U76" s="196"/>
      <c r="V76" s="192">
        <f>R76</f>
        <v>14696.3832</v>
      </c>
      <c r="W76" s="192">
        <f t="shared" si="12"/>
        <v>2351.4213119999999</v>
      </c>
      <c r="X76" s="192">
        <f t="shared" si="13"/>
        <v>17047.804511999999</v>
      </c>
      <c r="Y76" s="398" t="s">
        <v>27</v>
      </c>
      <c r="Z76" s="398" t="s">
        <v>27</v>
      </c>
      <c r="AA76" s="398" t="s">
        <v>27</v>
      </c>
      <c r="AB76" s="196" t="s">
        <v>1505</v>
      </c>
      <c r="AC76" s="196" t="s">
        <v>84</v>
      </c>
      <c r="AD76" s="196"/>
    </row>
    <row r="77" spans="1:30" ht="25.95" hidden="1" customHeight="1" x14ac:dyDescent="0.3">
      <c r="A77" s="196" t="s">
        <v>1726</v>
      </c>
      <c r="B77" s="196" t="s">
        <v>1376</v>
      </c>
      <c r="C77" s="413" t="s">
        <v>1516</v>
      </c>
      <c r="D77" s="196" t="s">
        <v>1547</v>
      </c>
      <c r="E77" s="414" t="s">
        <v>1250</v>
      </c>
      <c r="F77" s="413" t="s">
        <v>1250</v>
      </c>
      <c r="G77" s="414" t="s">
        <v>1470</v>
      </c>
      <c r="H77" s="414" t="s">
        <v>1469</v>
      </c>
      <c r="I77" s="411">
        <v>45800</v>
      </c>
      <c r="J77" s="196" t="s">
        <v>84</v>
      </c>
      <c r="K77" s="196" t="s">
        <v>1246</v>
      </c>
      <c r="L77" s="196" t="s">
        <v>57</v>
      </c>
      <c r="M77" s="196" t="s">
        <v>1248</v>
      </c>
      <c r="N77" s="196" t="s">
        <v>1249</v>
      </c>
      <c r="O77" s="196" t="s">
        <v>46</v>
      </c>
      <c r="P77" s="401" t="s">
        <v>25</v>
      </c>
      <c r="Q77" s="192">
        <v>94091</v>
      </c>
      <c r="R77" s="192">
        <f>Q77*0.15</f>
        <v>14113.65</v>
      </c>
      <c r="S77" s="192" t="s">
        <v>72</v>
      </c>
      <c r="T77" s="192">
        <f>R77*0.6</f>
        <v>8468.1899999999987</v>
      </c>
      <c r="U77" s="196"/>
      <c r="V77" s="192">
        <f>R77*0.4</f>
        <v>5645.46</v>
      </c>
      <c r="W77" s="192">
        <f t="shared" si="12"/>
        <v>2258.1840000000002</v>
      </c>
      <c r="X77" s="192">
        <f t="shared" si="13"/>
        <v>16371.833999999999</v>
      </c>
      <c r="Y77" s="398" t="s">
        <v>27</v>
      </c>
      <c r="Z77" s="398" t="s">
        <v>27</v>
      </c>
      <c r="AA77" s="398" t="s">
        <v>27</v>
      </c>
      <c r="AB77" s="196" t="s">
        <v>46</v>
      </c>
      <c r="AC77" s="196" t="s">
        <v>119</v>
      </c>
      <c r="AD77" s="196"/>
    </row>
    <row r="78" spans="1:30" ht="25.95" hidden="1" customHeight="1" x14ac:dyDescent="0.3">
      <c r="A78" s="196" t="s">
        <v>1414</v>
      </c>
      <c r="B78" s="196" t="s">
        <v>1415</v>
      </c>
      <c r="C78" s="413" t="s">
        <v>1516</v>
      </c>
      <c r="D78" s="196" t="s">
        <v>1547</v>
      </c>
      <c r="E78" s="414" t="s">
        <v>1250</v>
      </c>
      <c r="F78" s="413" t="s">
        <v>1250</v>
      </c>
      <c r="G78" s="414" t="s">
        <v>1476</v>
      </c>
      <c r="H78" s="414" t="s">
        <v>1475</v>
      </c>
      <c r="I78" s="411">
        <v>45798</v>
      </c>
      <c r="J78" s="196" t="s">
        <v>84</v>
      </c>
      <c r="K78" s="196" t="s">
        <v>1246</v>
      </c>
      <c r="L78" s="196" t="s">
        <v>57</v>
      </c>
      <c r="M78" s="196" t="s">
        <v>1248</v>
      </c>
      <c r="N78" s="196" t="s">
        <v>1249</v>
      </c>
      <c r="O78" s="196" t="s">
        <v>46</v>
      </c>
      <c r="P78" s="401" t="s">
        <v>25</v>
      </c>
      <c r="Q78" s="192">
        <v>12611.21</v>
      </c>
      <c r="R78" s="192">
        <f>Q78*0.15</f>
        <v>1891.6814999999997</v>
      </c>
      <c r="S78" s="192" t="s">
        <v>72</v>
      </c>
      <c r="T78" s="192">
        <f>R78*0.6</f>
        <v>1135.0088999999998</v>
      </c>
      <c r="U78" s="196"/>
      <c r="V78" s="192">
        <f>R78*0.4</f>
        <v>756.67259999999987</v>
      </c>
      <c r="W78" s="192">
        <f t="shared" si="12"/>
        <v>302.66903999999994</v>
      </c>
      <c r="X78" s="192">
        <f t="shared" si="13"/>
        <v>2194.3505399999995</v>
      </c>
      <c r="Y78" s="398" t="s">
        <v>27</v>
      </c>
      <c r="Z78" s="398" t="s">
        <v>27</v>
      </c>
      <c r="AA78" s="398" t="s">
        <v>27</v>
      </c>
      <c r="AB78" s="196" t="s">
        <v>46</v>
      </c>
      <c r="AC78" s="196" t="s">
        <v>119</v>
      </c>
      <c r="AD78" s="196"/>
    </row>
    <row r="79" spans="1:30" ht="25.95" hidden="1" customHeight="1" x14ac:dyDescent="0.3">
      <c r="A79" s="196" t="s">
        <v>1377</v>
      </c>
      <c r="B79" s="196" t="s">
        <v>1378</v>
      </c>
      <c r="C79" s="413" t="s">
        <v>1914</v>
      </c>
      <c r="D79" s="196" t="s">
        <v>1609</v>
      </c>
      <c r="E79" s="414" t="s">
        <v>1250</v>
      </c>
      <c r="F79" s="413" t="s">
        <v>1250</v>
      </c>
      <c r="G79" s="414" t="s">
        <v>1471</v>
      </c>
      <c r="H79" s="414" t="s">
        <v>1915</v>
      </c>
      <c r="I79" s="411">
        <v>45799</v>
      </c>
      <c r="J79" s="196" t="s">
        <v>84</v>
      </c>
      <c r="K79" s="196" t="s">
        <v>1246</v>
      </c>
      <c r="L79" s="196" t="s">
        <v>145</v>
      </c>
      <c r="M79" s="196" t="s">
        <v>1248</v>
      </c>
      <c r="N79" s="196" t="s">
        <v>1249</v>
      </c>
      <c r="O79" s="196" t="s">
        <v>46</v>
      </c>
      <c r="P79" s="401" t="s">
        <v>315</v>
      </c>
      <c r="Q79" s="192">
        <v>23957.86</v>
      </c>
      <c r="R79" s="192">
        <f>Q79*0.15</f>
        <v>3593.6790000000001</v>
      </c>
      <c r="S79" s="192" t="s">
        <v>72</v>
      </c>
      <c r="T79" s="192">
        <f>R79*0.6</f>
        <v>2156.2073999999998</v>
      </c>
      <c r="U79" s="196"/>
      <c r="V79" s="192">
        <f>R79*0.4</f>
        <v>1437.4716000000001</v>
      </c>
      <c r="W79" s="192">
        <f t="shared" si="12"/>
        <v>574.98864000000003</v>
      </c>
      <c r="X79" s="192">
        <f t="shared" si="13"/>
        <v>4168.6676399999997</v>
      </c>
      <c r="Y79" s="398" t="s">
        <v>27</v>
      </c>
      <c r="Z79" s="398" t="s">
        <v>1984</v>
      </c>
      <c r="AA79" s="398" t="s">
        <v>27</v>
      </c>
      <c r="AB79" s="196" t="s">
        <v>46</v>
      </c>
      <c r="AC79" s="196" t="s">
        <v>144</v>
      </c>
      <c r="AD79" s="196"/>
    </row>
    <row r="80" spans="1:30" ht="25.95" hidden="1" customHeight="1" x14ac:dyDescent="0.3">
      <c r="A80" s="196" t="s">
        <v>1493</v>
      </c>
      <c r="B80" s="196" t="s">
        <v>1474</v>
      </c>
      <c r="C80" s="413" t="s">
        <v>1516</v>
      </c>
      <c r="D80" s="196" t="s">
        <v>1547</v>
      </c>
      <c r="E80" s="414" t="s">
        <v>1250</v>
      </c>
      <c r="F80" s="413" t="s">
        <v>1250</v>
      </c>
      <c r="G80" s="414" t="s">
        <v>1473</v>
      </c>
      <c r="H80" s="414" t="s">
        <v>1916</v>
      </c>
      <c r="I80" s="411">
        <v>46171</v>
      </c>
      <c r="J80" s="196" t="s">
        <v>84</v>
      </c>
      <c r="K80" s="196" t="s">
        <v>1246</v>
      </c>
      <c r="L80" s="196" t="s">
        <v>57</v>
      </c>
      <c r="M80" s="196" t="s">
        <v>1248</v>
      </c>
      <c r="N80" s="196" t="s">
        <v>1249</v>
      </c>
      <c r="O80" s="196" t="s">
        <v>1250</v>
      </c>
      <c r="P80" s="401" t="s">
        <v>25</v>
      </c>
      <c r="Q80" s="192">
        <v>14200.01</v>
      </c>
      <c r="R80" s="192">
        <f>Q80*0.15</f>
        <v>2130.0014999999999</v>
      </c>
      <c r="S80" s="192" t="s">
        <v>26</v>
      </c>
      <c r="T80" s="192">
        <v>0</v>
      </c>
      <c r="U80" s="196"/>
      <c r="V80" s="192">
        <f>R80</f>
        <v>2130.0014999999999</v>
      </c>
      <c r="W80" s="192">
        <f t="shared" si="12"/>
        <v>340.80023999999997</v>
      </c>
      <c r="X80" s="192">
        <f t="shared" si="13"/>
        <v>2470.8017399999999</v>
      </c>
      <c r="Y80" s="398" t="s">
        <v>27</v>
      </c>
      <c r="Z80" s="398" t="s">
        <v>27</v>
      </c>
      <c r="AA80" s="398" t="s">
        <v>27</v>
      </c>
      <c r="AB80" s="196" t="s">
        <v>24</v>
      </c>
      <c r="AC80" s="196" t="s">
        <v>119</v>
      </c>
      <c r="AD80" s="196"/>
    </row>
    <row r="81" spans="1:30" ht="25.95" hidden="1" customHeight="1" x14ac:dyDescent="0.3">
      <c r="A81" s="196" t="s">
        <v>1338</v>
      </c>
      <c r="B81" s="196" t="s">
        <v>1353</v>
      </c>
      <c r="C81" s="196" t="s">
        <v>1703</v>
      </c>
      <c r="D81" s="196" t="s">
        <v>1547</v>
      </c>
      <c r="E81" s="196" t="s">
        <v>1250</v>
      </c>
      <c r="F81" s="196" t="s">
        <v>1250</v>
      </c>
      <c r="G81" s="196" t="s">
        <v>1704</v>
      </c>
      <c r="H81" s="196" t="s">
        <v>1705</v>
      </c>
      <c r="I81" s="411">
        <v>45778</v>
      </c>
      <c r="J81" s="196" t="s">
        <v>84</v>
      </c>
      <c r="K81" s="196" t="s">
        <v>1246</v>
      </c>
      <c r="L81" s="196" t="s">
        <v>1213</v>
      </c>
      <c r="M81" s="196" t="s">
        <v>1248</v>
      </c>
      <c r="N81" s="196" t="s">
        <v>1249</v>
      </c>
      <c r="O81" s="196" t="s">
        <v>1250</v>
      </c>
      <c r="P81" s="401" t="s">
        <v>25</v>
      </c>
      <c r="Q81" s="192">
        <v>0</v>
      </c>
      <c r="R81" s="192">
        <f>Q81*0.12</f>
        <v>0</v>
      </c>
      <c r="S81" s="196" t="s">
        <v>26</v>
      </c>
      <c r="T81" s="192">
        <v>0</v>
      </c>
      <c r="U81" s="196"/>
      <c r="V81" s="409">
        <v>0</v>
      </c>
      <c r="W81" s="409">
        <f t="shared" si="12"/>
        <v>0</v>
      </c>
      <c r="X81" s="409">
        <f t="shared" si="13"/>
        <v>0</v>
      </c>
      <c r="Y81" s="398" t="s">
        <v>27</v>
      </c>
      <c r="Z81" s="398" t="s">
        <v>27</v>
      </c>
      <c r="AA81" s="398" t="s">
        <v>27</v>
      </c>
      <c r="AB81" s="196" t="s">
        <v>155</v>
      </c>
      <c r="AC81" s="196" t="s">
        <v>99</v>
      </c>
      <c r="AD81" s="404"/>
    </row>
    <row r="82" spans="1:30" s="460" customFormat="1" ht="24" customHeight="1" x14ac:dyDescent="0.3">
      <c r="A82" s="456" t="s">
        <v>1362</v>
      </c>
      <c r="B82" s="456" t="s">
        <v>1597</v>
      </c>
      <c r="C82" s="196" t="s">
        <v>1664</v>
      </c>
      <c r="D82" s="196" t="s">
        <v>1546</v>
      </c>
      <c r="E82" s="196" t="s">
        <v>1250</v>
      </c>
      <c r="F82" s="196" t="s">
        <v>1250</v>
      </c>
      <c r="G82" s="457" t="s">
        <v>1598</v>
      </c>
      <c r="H82" s="456" t="s">
        <v>1599</v>
      </c>
      <c r="I82" s="458">
        <v>45843</v>
      </c>
      <c r="J82" s="456" t="s">
        <v>144</v>
      </c>
      <c r="K82" s="456" t="s">
        <v>1246</v>
      </c>
      <c r="L82" s="457" t="s">
        <v>1350</v>
      </c>
      <c r="M82" s="196" t="s">
        <v>1248</v>
      </c>
      <c r="N82" s="196" t="s">
        <v>1249</v>
      </c>
      <c r="O82" s="196" t="s">
        <v>1250</v>
      </c>
      <c r="P82" s="457" t="s">
        <v>142</v>
      </c>
      <c r="Q82" s="459"/>
      <c r="R82" s="459">
        <v>0</v>
      </c>
      <c r="S82" s="456" t="s">
        <v>26</v>
      </c>
      <c r="T82" s="459">
        <v>0</v>
      </c>
      <c r="U82" s="456"/>
      <c r="V82" s="459">
        <v>0</v>
      </c>
      <c r="W82" s="459">
        <f t="shared" si="12"/>
        <v>0</v>
      </c>
      <c r="X82" s="459">
        <f t="shared" si="13"/>
        <v>0</v>
      </c>
      <c r="Y82" s="456" t="s">
        <v>1306</v>
      </c>
      <c r="Z82" s="456" t="s">
        <v>1306</v>
      </c>
      <c r="AA82" s="456" t="s">
        <v>1306</v>
      </c>
      <c r="AB82" s="456" t="s">
        <v>24</v>
      </c>
      <c r="AC82" s="456"/>
      <c r="AD82" s="456"/>
    </row>
    <row r="83" spans="1:30" ht="0.6" hidden="1" customHeight="1" x14ac:dyDescent="0.3">
      <c r="A83" s="196" t="s">
        <v>1355</v>
      </c>
      <c r="B83" s="196" t="s">
        <v>1657</v>
      </c>
      <c r="C83" s="196" t="s">
        <v>1516</v>
      </c>
      <c r="D83" s="196" t="s">
        <v>1547</v>
      </c>
      <c r="E83" s="196" t="s">
        <v>1250</v>
      </c>
      <c r="F83" s="196" t="s">
        <v>1250</v>
      </c>
      <c r="G83" s="196" t="s">
        <v>1572</v>
      </c>
      <c r="H83" s="196" t="s">
        <v>1492</v>
      </c>
      <c r="I83" s="411">
        <v>45848</v>
      </c>
      <c r="J83" s="196" t="s">
        <v>119</v>
      </c>
      <c r="K83" s="196" t="s">
        <v>1246</v>
      </c>
      <c r="L83" s="196" t="s">
        <v>213</v>
      </c>
      <c r="M83" s="196" t="s">
        <v>1271</v>
      </c>
      <c r="N83" s="196" t="s">
        <v>1249</v>
      </c>
      <c r="O83" s="196" t="s">
        <v>1250</v>
      </c>
      <c r="P83" s="401" t="s">
        <v>47</v>
      </c>
      <c r="Q83" s="192">
        <v>34625</v>
      </c>
      <c r="R83" s="192">
        <f>Q83*0.12</f>
        <v>4155</v>
      </c>
      <c r="S83" s="196" t="s">
        <v>26</v>
      </c>
      <c r="T83" s="192">
        <v>0</v>
      </c>
      <c r="U83" s="196"/>
      <c r="V83" s="409">
        <f>R83</f>
        <v>4155</v>
      </c>
      <c r="W83" s="409">
        <f t="shared" ref="W83:W104" si="16">R83*0.16</f>
        <v>664.80000000000007</v>
      </c>
      <c r="X83" s="409">
        <f t="shared" ref="X83:X104" si="17">R83+W83</f>
        <v>4819.8</v>
      </c>
      <c r="Y83" s="398" t="s">
        <v>27</v>
      </c>
      <c r="Z83" s="398" t="s">
        <v>1963</v>
      </c>
      <c r="AA83" s="398" t="s">
        <v>27</v>
      </c>
      <c r="AB83" s="196" t="s">
        <v>24</v>
      </c>
      <c r="AC83" s="196" t="s">
        <v>170</v>
      </c>
      <c r="AD83" s="402" t="s">
        <v>1808</v>
      </c>
    </row>
    <row r="84" spans="1:30" ht="25.95" customHeight="1" x14ac:dyDescent="0.3">
      <c r="A84" s="196" t="s">
        <v>1355</v>
      </c>
      <c r="B84" s="196" t="s">
        <v>1658</v>
      </c>
      <c r="C84" s="196" t="s">
        <v>1917</v>
      </c>
      <c r="D84" s="196" t="s">
        <v>1546</v>
      </c>
      <c r="E84" s="196" t="s">
        <v>1250</v>
      </c>
      <c r="F84" s="196" t="s">
        <v>1250</v>
      </c>
      <c r="G84" s="196" t="s">
        <v>1996</v>
      </c>
      <c r="H84" s="196" t="s">
        <v>1997</v>
      </c>
      <c r="I84" s="411">
        <v>45891</v>
      </c>
      <c r="J84" s="196" t="s">
        <v>170</v>
      </c>
      <c r="K84" s="196" t="s">
        <v>1246</v>
      </c>
      <c r="L84" s="196" t="s">
        <v>213</v>
      </c>
      <c r="M84" s="196" t="s">
        <v>1248</v>
      </c>
      <c r="N84" s="196" t="s">
        <v>1249</v>
      </c>
      <c r="O84" s="196" t="s">
        <v>1250</v>
      </c>
      <c r="P84" s="401" t="s">
        <v>47</v>
      </c>
      <c r="Q84" s="192">
        <v>48691.4</v>
      </c>
      <c r="R84" s="192">
        <f>Q84*0.12</f>
        <v>5842.9679999999998</v>
      </c>
      <c r="S84" s="196" t="s">
        <v>26</v>
      </c>
      <c r="T84" s="192">
        <v>0</v>
      </c>
      <c r="U84" s="196"/>
      <c r="V84" s="192">
        <f>R84</f>
        <v>5842.9679999999998</v>
      </c>
      <c r="W84" s="192">
        <f t="shared" si="16"/>
        <v>934.87487999999996</v>
      </c>
      <c r="X84" s="192">
        <f t="shared" si="17"/>
        <v>6777.8428800000002</v>
      </c>
      <c r="Y84" s="411" t="s">
        <v>2041</v>
      </c>
      <c r="Z84" s="196" t="s">
        <v>1998</v>
      </c>
      <c r="AA84" s="196" t="s">
        <v>2063</v>
      </c>
      <c r="AB84" s="196" t="s">
        <v>24</v>
      </c>
      <c r="AC84" s="196"/>
      <c r="AD84" s="196"/>
    </row>
    <row r="85" spans="1:30" ht="25.95" hidden="1" customHeight="1" x14ac:dyDescent="0.3">
      <c r="A85" s="196" t="s">
        <v>1377</v>
      </c>
      <c r="B85" s="196" t="s">
        <v>1644</v>
      </c>
      <c r="C85" s="413" t="s">
        <v>1914</v>
      </c>
      <c r="D85" s="196" t="s">
        <v>1609</v>
      </c>
      <c r="E85" s="414" t="s">
        <v>1250</v>
      </c>
      <c r="F85" s="413" t="s">
        <v>1250</v>
      </c>
      <c r="G85" s="414" t="s">
        <v>1645</v>
      </c>
      <c r="H85" s="414" t="s">
        <v>1918</v>
      </c>
      <c r="I85" s="411">
        <v>45798</v>
      </c>
      <c r="J85" s="196" t="s">
        <v>84</v>
      </c>
      <c r="K85" s="196" t="s">
        <v>1246</v>
      </c>
      <c r="L85" s="196" t="s">
        <v>1380</v>
      </c>
      <c r="M85" s="196" t="s">
        <v>1248</v>
      </c>
      <c r="N85" s="196" t="s">
        <v>1249</v>
      </c>
      <c r="O85" s="196" t="s">
        <v>46</v>
      </c>
      <c r="P85" s="401" t="s">
        <v>315</v>
      </c>
      <c r="Q85" s="192">
        <v>4714.68</v>
      </c>
      <c r="R85" s="192">
        <f>Q85*0.15</f>
        <v>707.202</v>
      </c>
      <c r="S85" s="192" t="s">
        <v>72</v>
      </c>
      <c r="T85" s="192">
        <f>R85*0.6</f>
        <v>424.32119999999998</v>
      </c>
      <c r="U85" s="196"/>
      <c r="V85" s="192">
        <f>R85*0.4</f>
        <v>282.88080000000002</v>
      </c>
      <c r="W85" s="192">
        <f t="shared" si="16"/>
        <v>113.15232</v>
      </c>
      <c r="X85" s="192">
        <f t="shared" si="17"/>
        <v>820.35432000000003</v>
      </c>
      <c r="Y85" s="398" t="s">
        <v>27</v>
      </c>
      <c r="Z85" s="398" t="s">
        <v>27</v>
      </c>
      <c r="AA85" s="398" t="s">
        <v>27</v>
      </c>
      <c r="AB85" s="196" t="s">
        <v>46</v>
      </c>
      <c r="AC85" s="196" t="s">
        <v>144</v>
      </c>
      <c r="AD85" s="196" t="s">
        <v>1802</v>
      </c>
    </row>
    <row r="86" spans="1:30" ht="25.95" hidden="1" customHeight="1" x14ac:dyDescent="0.3">
      <c r="A86" s="196" t="s">
        <v>1596</v>
      </c>
      <c r="B86" s="196" t="s">
        <v>152</v>
      </c>
      <c r="C86" s="196" t="s">
        <v>1619</v>
      </c>
      <c r="D86" s="196" t="s">
        <v>1547</v>
      </c>
      <c r="E86" s="196" t="s">
        <v>1250</v>
      </c>
      <c r="F86" s="196" t="s">
        <v>1250</v>
      </c>
      <c r="G86" s="196" t="s">
        <v>1633</v>
      </c>
      <c r="H86" s="196" t="s">
        <v>1919</v>
      </c>
      <c r="I86" s="411">
        <v>45792</v>
      </c>
      <c r="J86" s="196" t="s">
        <v>84</v>
      </c>
      <c r="K86" s="196" t="s">
        <v>1246</v>
      </c>
      <c r="L86" s="196" t="s">
        <v>145</v>
      </c>
      <c r="M86" s="196" t="s">
        <v>1248</v>
      </c>
      <c r="N86" s="196" t="s">
        <v>1249</v>
      </c>
      <c r="O86" s="196" t="s">
        <v>1250</v>
      </c>
      <c r="P86" s="401" t="s">
        <v>25</v>
      </c>
      <c r="Q86" s="192">
        <v>0</v>
      </c>
      <c r="R86" s="192">
        <v>0</v>
      </c>
      <c r="S86" s="196" t="s">
        <v>26</v>
      </c>
      <c r="T86" s="192">
        <v>0</v>
      </c>
      <c r="U86" s="196"/>
      <c r="V86" s="409">
        <v>0</v>
      </c>
      <c r="W86" s="409">
        <f t="shared" si="16"/>
        <v>0</v>
      </c>
      <c r="X86" s="409">
        <f t="shared" si="17"/>
        <v>0</v>
      </c>
      <c r="Y86" s="398" t="s">
        <v>27</v>
      </c>
      <c r="Z86" s="398" t="s">
        <v>1962</v>
      </c>
      <c r="AA86" s="398" t="s">
        <v>27</v>
      </c>
      <c r="AB86" s="196" t="s">
        <v>155</v>
      </c>
      <c r="AC86" s="196" t="s">
        <v>73</v>
      </c>
      <c r="AD86" s="196"/>
    </row>
    <row r="87" spans="1:30" ht="25.95" hidden="1" customHeight="1" x14ac:dyDescent="0.3">
      <c r="A87" s="196" t="s">
        <v>1510</v>
      </c>
      <c r="B87" s="196" t="s">
        <v>1540</v>
      </c>
      <c r="C87" s="413" t="s">
        <v>1516</v>
      </c>
      <c r="D87" s="196" t="s">
        <v>1547</v>
      </c>
      <c r="E87" s="414" t="s">
        <v>1250</v>
      </c>
      <c r="F87" s="413" t="s">
        <v>1250</v>
      </c>
      <c r="G87" s="414" t="s">
        <v>1541</v>
      </c>
      <c r="H87" s="414" t="s">
        <v>1754</v>
      </c>
      <c r="I87" s="411">
        <v>45841</v>
      </c>
      <c r="J87" s="196" t="s">
        <v>144</v>
      </c>
      <c r="K87" s="196" t="s">
        <v>1246</v>
      </c>
      <c r="L87" s="196" t="s">
        <v>57</v>
      </c>
      <c r="M87" s="196" t="s">
        <v>1248</v>
      </c>
      <c r="N87" s="196" t="s">
        <v>1249</v>
      </c>
      <c r="O87" s="196" t="s">
        <v>46</v>
      </c>
      <c r="P87" s="401" t="s">
        <v>315</v>
      </c>
      <c r="Q87" s="192">
        <v>5000</v>
      </c>
      <c r="R87" s="192">
        <f>Q87*0.15</f>
        <v>750</v>
      </c>
      <c r="S87" s="192" t="s">
        <v>72</v>
      </c>
      <c r="T87" s="192">
        <f>R87*0.6</f>
        <v>450</v>
      </c>
      <c r="U87" s="196"/>
      <c r="V87" s="192">
        <f>R87*0.4</f>
        <v>300</v>
      </c>
      <c r="W87" s="192">
        <f t="shared" si="16"/>
        <v>120</v>
      </c>
      <c r="X87" s="192">
        <f t="shared" si="17"/>
        <v>870</v>
      </c>
      <c r="Y87" s="398" t="s">
        <v>27</v>
      </c>
      <c r="Z87" s="398" t="s">
        <v>1981</v>
      </c>
      <c r="AA87" s="398" t="s">
        <v>27</v>
      </c>
      <c r="AB87" s="196" t="s">
        <v>46</v>
      </c>
      <c r="AC87" s="196" t="s">
        <v>144</v>
      </c>
      <c r="AD87" s="196" t="s">
        <v>1803</v>
      </c>
    </row>
    <row r="88" spans="1:30" ht="25.95" hidden="1" customHeight="1" x14ac:dyDescent="0.3">
      <c r="A88" s="196" t="s">
        <v>1227</v>
      </c>
      <c r="B88" s="196" t="s">
        <v>1489</v>
      </c>
      <c r="C88" s="413" t="s">
        <v>1516</v>
      </c>
      <c r="D88" s="196" t="s">
        <v>1547</v>
      </c>
      <c r="E88" s="414" t="s">
        <v>1250</v>
      </c>
      <c r="F88" s="413" t="s">
        <v>1250</v>
      </c>
      <c r="G88" s="414" t="s">
        <v>2005</v>
      </c>
      <c r="H88" s="414" t="s">
        <v>1560</v>
      </c>
      <c r="I88" s="411">
        <v>45792</v>
      </c>
      <c r="J88" s="196" t="s">
        <v>84</v>
      </c>
      <c r="K88" s="196" t="s">
        <v>1246</v>
      </c>
      <c r="L88" s="196" t="s">
        <v>1463</v>
      </c>
      <c r="M88" s="196" t="s">
        <v>1248</v>
      </c>
      <c r="N88" s="196" t="s">
        <v>1249</v>
      </c>
      <c r="O88" s="196" t="s">
        <v>1250</v>
      </c>
      <c r="P88" s="401" t="s">
        <v>25</v>
      </c>
      <c r="Q88" s="192">
        <v>10856.06</v>
      </c>
      <c r="R88" s="192">
        <f>Q88*0.15</f>
        <v>1628.4089999999999</v>
      </c>
      <c r="S88" s="196" t="s">
        <v>26</v>
      </c>
      <c r="T88" s="192">
        <v>0</v>
      </c>
      <c r="U88" s="196"/>
      <c r="V88" s="192">
        <f>R88</f>
        <v>1628.4089999999999</v>
      </c>
      <c r="W88" s="192">
        <f t="shared" si="16"/>
        <v>260.54543999999999</v>
      </c>
      <c r="X88" s="192">
        <f t="shared" si="17"/>
        <v>1888.95444</v>
      </c>
      <c r="Y88" s="398" t="s">
        <v>27</v>
      </c>
      <c r="Z88" s="398" t="s">
        <v>27</v>
      </c>
      <c r="AA88" s="398" t="s">
        <v>27</v>
      </c>
      <c r="AB88" s="196" t="s">
        <v>24</v>
      </c>
      <c r="AC88" s="196" t="s">
        <v>84</v>
      </c>
      <c r="AD88" s="196"/>
    </row>
    <row r="89" spans="1:30" ht="20.399999999999999" customHeight="1" x14ac:dyDescent="0.3">
      <c r="A89" s="196" t="s">
        <v>468</v>
      </c>
      <c r="B89" s="196" t="s">
        <v>1757</v>
      </c>
      <c r="C89" s="196" t="s">
        <v>1741</v>
      </c>
      <c r="D89" s="196" t="s">
        <v>1546</v>
      </c>
      <c r="E89" s="196" t="s">
        <v>1250</v>
      </c>
      <c r="F89" s="196" t="s">
        <v>1250</v>
      </c>
      <c r="G89" s="401">
        <v>10000521</v>
      </c>
      <c r="H89" s="196" t="s">
        <v>1576</v>
      </c>
      <c r="I89" s="411">
        <v>45809</v>
      </c>
      <c r="J89" s="196" t="s">
        <v>119</v>
      </c>
      <c r="K89" s="196" t="s">
        <v>1246</v>
      </c>
      <c r="L89" s="196" t="s">
        <v>1643</v>
      </c>
      <c r="M89" s="196" t="s">
        <v>1248</v>
      </c>
      <c r="N89" s="196" t="s">
        <v>1249</v>
      </c>
      <c r="O89" s="196" t="s">
        <v>1250</v>
      </c>
      <c r="P89" s="401" t="s">
        <v>1742</v>
      </c>
      <c r="Q89" s="192">
        <v>56538.61</v>
      </c>
      <c r="R89" s="192">
        <f>Q89*0.161</f>
        <v>9102.7162100000005</v>
      </c>
      <c r="S89" s="196" t="s">
        <v>26</v>
      </c>
      <c r="T89" s="192">
        <v>0</v>
      </c>
      <c r="U89" s="196"/>
      <c r="V89" s="192">
        <f>R89</f>
        <v>9102.7162100000005</v>
      </c>
      <c r="W89" s="192">
        <f t="shared" si="16"/>
        <v>1456.4345936000002</v>
      </c>
      <c r="X89" s="192">
        <f t="shared" si="17"/>
        <v>10559.150803600001</v>
      </c>
      <c r="Y89" s="411" t="s">
        <v>2065</v>
      </c>
      <c r="Z89" s="401" t="s">
        <v>27</v>
      </c>
      <c r="AA89" s="196" t="s">
        <v>2064</v>
      </c>
      <c r="AB89" s="196" t="s">
        <v>24</v>
      </c>
      <c r="AC89" s="196"/>
      <c r="AD89" s="196"/>
    </row>
    <row r="90" spans="1:30" ht="28.2" customHeight="1" x14ac:dyDescent="0.3">
      <c r="A90" s="196" t="s">
        <v>1701</v>
      </c>
      <c r="B90" s="196" t="s">
        <v>1412</v>
      </c>
      <c r="C90" s="196" t="s">
        <v>1654</v>
      </c>
      <c r="D90" s="196" t="s">
        <v>1547</v>
      </c>
      <c r="E90" s="196" t="s">
        <v>1250</v>
      </c>
      <c r="F90" s="196" t="s">
        <v>1250</v>
      </c>
      <c r="G90" s="401">
        <v>7003436</v>
      </c>
      <c r="H90" s="196" t="s">
        <v>1920</v>
      </c>
      <c r="I90" s="411">
        <v>45814</v>
      </c>
      <c r="J90" s="196" t="s">
        <v>119</v>
      </c>
      <c r="K90" s="196" t="s">
        <v>1246</v>
      </c>
      <c r="L90" s="196" t="s">
        <v>1702</v>
      </c>
      <c r="M90" s="196" t="s">
        <v>1248</v>
      </c>
      <c r="N90" s="196" t="s">
        <v>1249</v>
      </c>
      <c r="O90" s="196" t="s">
        <v>1250</v>
      </c>
      <c r="P90" s="401" t="s">
        <v>40</v>
      </c>
      <c r="Q90" s="192">
        <v>9006062.8000000007</v>
      </c>
      <c r="R90" s="192">
        <f>Q90*0.0143</f>
        <v>128786.69804000002</v>
      </c>
      <c r="S90" s="196" t="s">
        <v>26</v>
      </c>
      <c r="T90" s="192">
        <v>0</v>
      </c>
      <c r="U90" s="401"/>
      <c r="V90" s="409">
        <f>R90</f>
        <v>128786.69804000002</v>
      </c>
      <c r="W90" s="192">
        <f t="shared" si="16"/>
        <v>20605.871686400002</v>
      </c>
      <c r="X90" s="192">
        <f t="shared" si="17"/>
        <v>149392.56972640002</v>
      </c>
      <c r="Y90" s="411" t="s">
        <v>27</v>
      </c>
      <c r="Z90" s="401" t="s">
        <v>27</v>
      </c>
      <c r="AA90" s="411" t="s">
        <v>27</v>
      </c>
      <c r="AB90" s="196" t="s">
        <v>155</v>
      </c>
      <c r="AC90" s="196"/>
      <c r="AD90" s="196"/>
    </row>
    <row r="91" spans="1:30" ht="25.95" hidden="1" customHeight="1" x14ac:dyDescent="0.3">
      <c r="A91" s="196" t="s">
        <v>1601</v>
      </c>
      <c r="B91" s="196" t="s">
        <v>1602</v>
      </c>
      <c r="C91" s="413" t="s">
        <v>1619</v>
      </c>
      <c r="D91" s="196" t="s">
        <v>1547</v>
      </c>
      <c r="E91" s="414" t="s">
        <v>1250</v>
      </c>
      <c r="F91" s="413" t="s">
        <v>1250</v>
      </c>
      <c r="G91" s="414" t="s">
        <v>1603</v>
      </c>
      <c r="H91" s="414" t="s">
        <v>1604</v>
      </c>
      <c r="I91" s="411">
        <v>45848</v>
      </c>
      <c r="J91" s="196" t="s">
        <v>144</v>
      </c>
      <c r="K91" s="196" t="s">
        <v>1246</v>
      </c>
      <c r="L91" s="196" t="s">
        <v>1641</v>
      </c>
      <c r="M91" s="196" t="s">
        <v>1248</v>
      </c>
      <c r="N91" s="196" t="s">
        <v>1249</v>
      </c>
      <c r="O91" s="196" t="s">
        <v>46</v>
      </c>
      <c r="P91" s="401" t="s">
        <v>315</v>
      </c>
      <c r="Q91" s="192">
        <v>33133.33</v>
      </c>
      <c r="R91" s="192">
        <f>Q91*0.15</f>
        <v>4969.9994999999999</v>
      </c>
      <c r="S91" s="192" t="s">
        <v>72</v>
      </c>
      <c r="T91" s="192">
        <f>R91*0.6</f>
        <v>2981.9996999999998</v>
      </c>
      <c r="U91" s="196"/>
      <c r="V91" s="192">
        <f>R91*0.4</f>
        <v>1987.9998000000001</v>
      </c>
      <c r="W91" s="192">
        <f t="shared" si="16"/>
        <v>795.19992000000002</v>
      </c>
      <c r="X91" s="192">
        <f t="shared" si="17"/>
        <v>5765.1994199999999</v>
      </c>
      <c r="Y91" s="398" t="s">
        <v>27</v>
      </c>
      <c r="Z91" s="398" t="s">
        <v>1983</v>
      </c>
      <c r="AA91" s="398" t="s">
        <v>27</v>
      </c>
      <c r="AB91" s="196" t="s">
        <v>46</v>
      </c>
      <c r="AC91" s="196" t="s">
        <v>144</v>
      </c>
      <c r="AD91" s="196" t="s">
        <v>1800</v>
      </c>
    </row>
    <row r="92" spans="1:30" ht="25.95" hidden="1" customHeight="1" x14ac:dyDescent="0.3">
      <c r="A92" s="196" t="s">
        <v>1360</v>
      </c>
      <c r="B92" s="196" t="s">
        <v>1361</v>
      </c>
      <c r="C92" s="413" t="s">
        <v>1516</v>
      </c>
      <c r="D92" s="196" t="s">
        <v>1547</v>
      </c>
      <c r="E92" s="414" t="s">
        <v>1921</v>
      </c>
      <c r="F92" s="413" t="s">
        <v>1569</v>
      </c>
      <c r="G92" s="414" t="s">
        <v>1464</v>
      </c>
      <c r="H92" s="414" t="s">
        <v>1922</v>
      </c>
      <c r="I92" s="411">
        <v>45817</v>
      </c>
      <c r="J92" s="196" t="s">
        <v>119</v>
      </c>
      <c r="K92" s="196" t="s">
        <v>1246</v>
      </c>
      <c r="L92" s="196" t="s">
        <v>57</v>
      </c>
      <c r="M92" s="196" t="s">
        <v>417</v>
      </c>
      <c r="N92" s="196" t="s">
        <v>1249</v>
      </c>
      <c r="O92" s="196" t="s">
        <v>1272</v>
      </c>
      <c r="P92" s="401" t="s">
        <v>47</v>
      </c>
      <c r="Q92" s="192">
        <v>529627.78</v>
      </c>
      <c r="R92" s="192">
        <f>Q92*0.2</f>
        <v>105925.55600000001</v>
      </c>
      <c r="S92" s="410" t="s">
        <v>1273</v>
      </c>
      <c r="T92" s="192">
        <f>R92*0.5</f>
        <v>52962.778000000006</v>
      </c>
      <c r="U92" s="196" t="s">
        <v>340</v>
      </c>
      <c r="V92" s="192">
        <f>R92*0.5</f>
        <v>52962.778000000006</v>
      </c>
      <c r="W92" s="192">
        <f t="shared" si="16"/>
        <v>16948.088960000001</v>
      </c>
      <c r="X92" s="192">
        <f t="shared" si="17"/>
        <v>122873.64496000001</v>
      </c>
      <c r="Y92" s="411" t="s">
        <v>27</v>
      </c>
      <c r="Z92" s="411" t="s">
        <v>1982</v>
      </c>
      <c r="AA92" s="411" t="s">
        <v>27</v>
      </c>
      <c r="AB92" s="196" t="s">
        <v>1506</v>
      </c>
      <c r="AC92" s="196" t="s">
        <v>144</v>
      </c>
      <c r="AD92" s="196"/>
    </row>
    <row r="93" spans="1:30" ht="25.95" hidden="1" customHeight="1" x14ac:dyDescent="0.3">
      <c r="A93" s="196" t="s">
        <v>1360</v>
      </c>
      <c r="B93" s="196" t="s">
        <v>1361</v>
      </c>
      <c r="C93" s="413" t="s">
        <v>1516</v>
      </c>
      <c r="D93" s="196" t="s">
        <v>1547</v>
      </c>
      <c r="E93" s="414" t="s">
        <v>1923</v>
      </c>
      <c r="F93" s="413" t="s">
        <v>1569</v>
      </c>
      <c r="G93" s="414" t="s">
        <v>1466</v>
      </c>
      <c r="H93" s="414" t="s">
        <v>1573</v>
      </c>
      <c r="I93" s="411">
        <v>45817</v>
      </c>
      <c r="J93" s="196" t="s">
        <v>119</v>
      </c>
      <c r="K93" s="196" t="s">
        <v>1246</v>
      </c>
      <c r="L93" s="196" t="s">
        <v>1408</v>
      </c>
      <c r="M93" s="196" t="s">
        <v>417</v>
      </c>
      <c r="N93" s="196" t="s">
        <v>1249</v>
      </c>
      <c r="O93" s="196" t="s">
        <v>1250</v>
      </c>
      <c r="P93" s="401" t="s">
        <v>47</v>
      </c>
      <c r="Q93" s="192">
        <v>88866.48</v>
      </c>
      <c r="R93" s="192">
        <f>Q93*0.12</f>
        <v>10663.977599999998</v>
      </c>
      <c r="S93" s="192" t="s">
        <v>26</v>
      </c>
      <c r="T93" s="192">
        <v>0</v>
      </c>
      <c r="U93" s="196"/>
      <c r="V93" s="192">
        <f>R93</f>
        <v>10663.977599999998</v>
      </c>
      <c r="W93" s="192">
        <f t="shared" si="16"/>
        <v>1706.2364159999997</v>
      </c>
      <c r="X93" s="192">
        <f t="shared" si="17"/>
        <v>12370.214015999998</v>
      </c>
      <c r="Y93" s="398" t="s">
        <v>27</v>
      </c>
      <c r="Z93" s="398" t="s">
        <v>1982</v>
      </c>
      <c r="AA93" s="398" t="s">
        <v>27</v>
      </c>
      <c r="AB93" s="196" t="s">
        <v>1505</v>
      </c>
      <c r="AC93" s="196" t="s">
        <v>144</v>
      </c>
      <c r="AD93" s="196"/>
    </row>
    <row r="94" spans="1:30" ht="25.95" hidden="1" customHeight="1" x14ac:dyDescent="0.3">
      <c r="A94" s="196" t="s">
        <v>1409</v>
      </c>
      <c r="B94" s="196" t="s">
        <v>1406</v>
      </c>
      <c r="C94" s="413" t="s">
        <v>1619</v>
      </c>
      <c r="D94" s="196" t="s">
        <v>1547</v>
      </c>
      <c r="E94" s="414" t="s">
        <v>1924</v>
      </c>
      <c r="F94" s="413" t="s">
        <v>1925</v>
      </c>
      <c r="G94" s="414" t="s">
        <v>1430</v>
      </c>
      <c r="H94" s="414" t="s">
        <v>1926</v>
      </c>
      <c r="I94" s="411">
        <v>45827</v>
      </c>
      <c r="J94" s="196" t="s">
        <v>119</v>
      </c>
      <c r="K94" s="196" t="s">
        <v>1246</v>
      </c>
      <c r="L94" s="196" t="s">
        <v>57</v>
      </c>
      <c r="M94" s="196" t="s">
        <v>1271</v>
      </c>
      <c r="N94" s="196" t="s">
        <v>1249</v>
      </c>
      <c r="O94" s="196" t="s">
        <v>1272</v>
      </c>
      <c r="P94" s="401" t="s">
        <v>47</v>
      </c>
      <c r="Q94" s="192">
        <v>1127939.6100000001</v>
      </c>
      <c r="R94" s="192">
        <f t="shared" ref="R94:R99" si="18">Q94*0.15</f>
        <v>169190.94150000002</v>
      </c>
      <c r="S94" s="410" t="s">
        <v>1273</v>
      </c>
      <c r="T94" s="192">
        <f>R94*0.5</f>
        <v>84595.470750000008</v>
      </c>
      <c r="U94" s="197" t="s">
        <v>340</v>
      </c>
      <c r="V94" s="192">
        <f>R94*0.5</f>
        <v>84595.470750000008</v>
      </c>
      <c r="W94" s="192">
        <f t="shared" si="16"/>
        <v>27070.550640000001</v>
      </c>
      <c r="X94" s="192">
        <f t="shared" si="17"/>
        <v>196261.49214000002</v>
      </c>
      <c r="Y94" s="398" t="s">
        <v>27</v>
      </c>
      <c r="Z94" s="398" t="s">
        <v>1981</v>
      </c>
      <c r="AA94" s="398" t="s">
        <v>27</v>
      </c>
      <c r="AB94" s="196" t="s">
        <v>1640</v>
      </c>
      <c r="AC94" s="196" t="s">
        <v>144</v>
      </c>
      <c r="AD94" s="196"/>
    </row>
    <row r="95" spans="1:30" ht="25.95" hidden="1" customHeight="1" x14ac:dyDescent="0.3">
      <c r="A95" s="196" t="s">
        <v>1409</v>
      </c>
      <c r="B95" s="196" t="s">
        <v>1406</v>
      </c>
      <c r="C95" s="413" t="s">
        <v>1927</v>
      </c>
      <c r="D95" s="196" t="s">
        <v>1609</v>
      </c>
      <c r="E95" s="414" t="s">
        <v>1928</v>
      </c>
      <c r="F95" s="413" t="s">
        <v>1925</v>
      </c>
      <c r="G95" s="414" t="s">
        <v>1431</v>
      </c>
      <c r="H95" s="414" t="s">
        <v>1550</v>
      </c>
      <c r="I95" s="411">
        <v>45827</v>
      </c>
      <c r="J95" s="196" t="s">
        <v>119</v>
      </c>
      <c r="K95" s="196" t="s">
        <v>1246</v>
      </c>
      <c r="L95" s="196" t="s">
        <v>1276</v>
      </c>
      <c r="M95" s="196" t="s">
        <v>1271</v>
      </c>
      <c r="N95" s="196" t="s">
        <v>1249</v>
      </c>
      <c r="O95" s="196" t="s">
        <v>1250</v>
      </c>
      <c r="P95" s="401" t="s">
        <v>47</v>
      </c>
      <c r="Q95" s="192">
        <v>256800</v>
      </c>
      <c r="R95" s="192">
        <f t="shared" si="18"/>
        <v>38520</v>
      </c>
      <c r="S95" s="192" t="s">
        <v>26</v>
      </c>
      <c r="T95" s="192">
        <v>0</v>
      </c>
      <c r="U95" s="196"/>
      <c r="V95" s="192">
        <f t="shared" ref="V95:V103" si="19">R95</f>
        <v>38520</v>
      </c>
      <c r="W95" s="192">
        <f t="shared" si="16"/>
        <v>6163.2</v>
      </c>
      <c r="X95" s="192">
        <f t="shared" si="17"/>
        <v>44683.199999999997</v>
      </c>
      <c r="Y95" s="398" t="s">
        <v>27</v>
      </c>
      <c r="Z95" s="398" t="s">
        <v>1981</v>
      </c>
      <c r="AA95" s="398" t="s">
        <v>27</v>
      </c>
      <c r="AB95" s="196" t="s">
        <v>1507</v>
      </c>
      <c r="AC95" s="196" t="s">
        <v>144</v>
      </c>
      <c r="AD95" s="196"/>
    </row>
    <row r="96" spans="1:30" ht="25.95" hidden="1" customHeight="1" x14ac:dyDescent="0.3">
      <c r="A96" s="196" t="s">
        <v>1501</v>
      </c>
      <c r="B96" s="196" t="s">
        <v>1503</v>
      </c>
      <c r="C96" s="413" t="s">
        <v>1516</v>
      </c>
      <c r="D96" s="196" t="s">
        <v>1547</v>
      </c>
      <c r="E96" s="414" t="s">
        <v>1250</v>
      </c>
      <c r="F96" s="413" t="s">
        <v>1250</v>
      </c>
      <c r="G96" s="414" t="s">
        <v>1542</v>
      </c>
      <c r="H96" s="414" t="s">
        <v>1543</v>
      </c>
      <c r="I96" s="411">
        <v>45828</v>
      </c>
      <c r="J96" s="196" t="s">
        <v>119</v>
      </c>
      <c r="K96" s="196" t="s">
        <v>1246</v>
      </c>
      <c r="L96" s="196" t="s">
        <v>1504</v>
      </c>
      <c r="M96" s="196" t="s">
        <v>1248</v>
      </c>
      <c r="N96" s="196" t="s">
        <v>1249</v>
      </c>
      <c r="O96" s="196" t="s">
        <v>1250</v>
      </c>
      <c r="P96" s="401" t="s">
        <v>25</v>
      </c>
      <c r="Q96" s="192">
        <v>4000</v>
      </c>
      <c r="R96" s="192">
        <f t="shared" si="18"/>
        <v>600</v>
      </c>
      <c r="S96" s="192" t="s">
        <v>26</v>
      </c>
      <c r="T96" s="192">
        <v>0</v>
      </c>
      <c r="U96" s="196"/>
      <c r="V96" s="192">
        <f t="shared" si="19"/>
        <v>600</v>
      </c>
      <c r="W96" s="192">
        <f t="shared" si="16"/>
        <v>96</v>
      </c>
      <c r="X96" s="192">
        <f t="shared" si="17"/>
        <v>696</v>
      </c>
      <c r="Y96" s="398" t="s">
        <v>27</v>
      </c>
      <c r="Z96" s="398" t="s">
        <v>1980</v>
      </c>
      <c r="AA96" s="398" t="s">
        <v>27</v>
      </c>
      <c r="AB96" s="196" t="s">
        <v>24</v>
      </c>
      <c r="AC96" s="196" t="s">
        <v>144</v>
      </c>
      <c r="AD96" s="196"/>
    </row>
    <row r="97" spans="1:30" ht="25.95" hidden="1" customHeight="1" x14ac:dyDescent="0.3">
      <c r="A97" s="196" t="s">
        <v>1468</v>
      </c>
      <c r="B97" s="196" t="s">
        <v>1467</v>
      </c>
      <c r="C97" s="413" t="s">
        <v>1516</v>
      </c>
      <c r="D97" s="196" t="s">
        <v>1547</v>
      </c>
      <c r="E97" s="414" t="s">
        <v>1250</v>
      </c>
      <c r="F97" s="413" t="s">
        <v>1250</v>
      </c>
      <c r="G97" s="414" t="s">
        <v>1620</v>
      </c>
      <c r="H97" s="414" t="s">
        <v>1929</v>
      </c>
      <c r="I97" s="411">
        <v>45838</v>
      </c>
      <c r="J97" s="196" t="s">
        <v>119</v>
      </c>
      <c r="K97" s="196" t="s">
        <v>1246</v>
      </c>
      <c r="L97" s="196" t="s">
        <v>145</v>
      </c>
      <c r="M97" s="196" t="s">
        <v>1248</v>
      </c>
      <c r="N97" s="196" t="s">
        <v>1249</v>
      </c>
      <c r="O97" s="196" t="s">
        <v>1250</v>
      </c>
      <c r="P97" s="401" t="s">
        <v>25</v>
      </c>
      <c r="Q97" s="192">
        <v>10000</v>
      </c>
      <c r="R97" s="192">
        <f t="shared" si="18"/>
        <v>1500</v>
      </c>
      <c r="S97" s="192" t="s">
        <v>26</v>
      </c>
      <c r="T97" s="192">
        <v>0</v>
      </c>
      <c r="U97" s="196"/>
      <c r="V97" s="192">
        <f t="shared" si="19"/>
        <v>1500</v>
      </c>
      <c r="W97" s="192">
        <f t="shared" si="16"/>
        <v>240</v>
      </c>
      <c r="X97" s="192">
        <f t="shared" si="17"/>
        <v>1740</v>
      </c>
      <c r="Y97" s="398" t="s">
        <v>27</v>
      </c>
      <c r="Z97" s="398" t="s">
        <v>1979</v>
      </c>
      <c r="AA97" s="398" t="s">
        <v>27</v>
      </c>
      <c r="AB97" s="196" t="s">
        <v>24</v>
      </c>
      <c r="AC97" s="196" t="s">
        <v>144</v>
      </c>
      <c r="AD97" s="196"/>
    </row>
    <row r="98" spans="1:30" ht="25.95" hidden="1" customHeight="1" x14ac:dyDescent="0.3">
      <c r="A98" s="196" t="s">
        <v>1494</v>
      </c>
      <c r="B98" s="196" t="s">
        <v>1416</v>
      </c>
      <c r="C98" s="413" t="s">
        <v>1516</v>
      </c>
      <c r="D98" s="196" t="s">
        <v>1547</v>
      </c>
      <c r="E98" s="414" t="s">
        <v>1250</v>
      </c>
      <c r="F98" s="413" t="s">
        <v>1250</v>
      </c>
      <c r="G98" s="414" t="s">
        <v>1462</v>
      </c>
      <c r="H98" s="414" t="s">
        <v>1930</v>
      </c>
      <c r="I98" s="411">
        <v>45817</v>
      </c>
      <c r="J98" s="196" t="s">
        <v>119</v>
      </c>
      <c r="K98" s="196" t="s">
        <v>1246</v>
      </c>
      <c r="L98" s="196" t="s">
        <v>1463</v>
      </c>
      <c r="M98" s="196" t="s">
        <v>1248</v>
      </c>
      <c r="N98" s="196" t="s">
        <v>1249</v>
      </c>
      <c r="O98" s="196" t="s">
        <v>1250</v>
      </c>
      <c r="P98" s="401" t="s">
        <v>25</v>
      </c>
      <c r="Q98" s="192">
        <v>2500</v>
      </c>
      <c r="R98" s="192">
        <f t="shared" si="18"/>
        <v>375</v>
      </c>
      <c r="S98" s="192" t="s">
        <v>26</v>
      </c>
      <c r="T98" s="192">
        <v>0</v>
      </c>
      <c r="U98" s="196"/>
      <c r="V98" s="192">
        <f t="shared" si="19"/>
        <v>375</v>
      </c>
      <c r="W98" s="192">
        <f t="shared" si="16"/>
        <v>60</v>
      </c>
      <c r="X98" s="192">
        <f t="shared" si="17"/>
        <v>435</v>
      </c>
      <c r="Y98" s="398" t="s">
        <v>27</v>
      </c>
      <c r="Z98" s="398" t="s">
        <v>27</v>
      </c>
      <c r="AA98" s="398" t="s">
        <v>27</v>
      </c>
      <c r="AB98" s="196" t="s">
        <v>24</v>
      </c>
      <c r="AC98" s="196" t="s">
        <v>119</v>
      </c>
      <c r="AD98" s="196"/>
    </row>
    <row r="99" spans="1:30" ht="25.95" hidden="1" customHeight="1" x14ac:dyDescent="0.3">
      <c r="A99" s="196" t="s">
        <v>1338</v>
      </c>
      <c r="B99" s="196" t="s">
        <v>1585</v>
      </c>
      <c r="C99" s="413" t="s">
        <v>1931</v>
      </c>
      <c r="D99" s="196" t="s">
        <v>1609</v>
      </c>
      <c r="E99" s="414" t="s">
        <v>1932</v>
      </c>
      <c r="F99" s="413" t="s">
        <v>1589</v>
      </c>
      <c r="G99" s="414" t="s">
        <v>1587</v>
      </c>
      <c r="H99" s="414" t="s">
        <v>1588</v>
      </c>
      <c r="I99" s="411">
        <v>45873</v>
      </c>
      <c r="J99" s="196" t="s">
        <v>73</v>
      </c>
      <c r="K99" s="196" t="s">
        <v>1246</v>
      </c>
      <c r="L99" s="196" t="s">
        <v>1213</v>
      </c>
      <c r="M99" s="196" t="s">
        <v>1248</v>
      </c>
      <c r="N99" s="196" t="s">
        <v>1249</v>
      </c>
      <c r="O99" s="196" t="s">
        <v>1250</v>
      </c>
      <c r="P99" s="401" t="s">
        <v>25</v>
      </c>
      <c r="Q99" s="192">
        <v>51616.91</v>
      </c>
      <c r="R99" s="192">
        <f t="shared" si="18"/>
        <v>7742.5365000000002</v>
      </c>
      <c r="S99" s="192" t="s">
        <v>26</v>
      </c>
      <c r="T99" s="192">
        <v>0</v>
      </c>
      <c r="U99" s="196"/>
      <c r="V99" s="192">
        <f t="shared" si="19"/>
        <v>7742.5365000000002</v>
      </c>
      <c r="W99" s="192">
        <f t="shared" si="16"/>
        <v>1238.80584</v>
      </c>
      <c r="X99" s="192">
        <f t="shared" si="17"/>
        <v>8981.3423399999992</v>
      </c>
      <c r="Y99" s="398" t="s">
        <v>27</v>
      </c>
      <c r="Z99" s="398" t="s">
        <v>1978</v>
      </c>
      <c r="AA99" s="398" t="s">
        <v>27</v>
      </c>
      <c r="AB99" s="196" t="s">
        <v>155</v>
      </c>
      <c r="AC99" s="196" t="s">
        <v>73</v>
      </c>
      <c r="AD99" s="196" t="s">
        <v>1813</v>
      </c>
    </row>
    <row r="100" spans="1:30" ht="25.95" hidden="1" customHeight="1" x14ac:dyDescent="0.3">
      <c r="A100" s="196" t="s">
        <v>1362</v>
      </c>
      <c r="B100" s="196" t="s">
        <v>1367</v>
      </c>
      <c r="C100" s="413" t="s">
        <v>1516</v>
      </c>
      <c r="D100" s="196" t="s">
        <v>1547</v>
      </c>
      <c r="E100" s="414" t="s">
        <v>1250</v>
      </c>
      <c r="F100" s="413" t="s">
        <v>1250</v>
      </c>
      <c r="G100" s="414" t="s">
        <v>1495</v>
      </c>
      <c r="H100" s="414" t="s">
        <v>1933</v>
      </c>
      <c r="I100" s="411">
        <v>45806</v>
      </c>
      <c r="J100" s="196" t="s">
        <v>119</v>
      </c>
      <c r="K100" s="196" t="s">
        <v>1246</v>
      </c>
      <c r="L100" s="196" t="s">
        <v>1364</v>
      </c>
      <c r="M100" s="196" t="s">
        <v>1248</v>
      </c>
      <c r="N100" s="196" t="s">
        <v>1249</v>
      </c>
      <c r="O100" s="196" t="s">
        <v>1250</v>
      </c>
      <c r="P100" s="401" t="s">
        <v>769</v>
      </c>
      <c r="Q100" s="192">
        <v>88702</v>
      </c>
      <c r="R100" s="192">
        <v>15079.34</v>
      </c>
      <c r="S100" s="192" t="s">
        <v>26</v>
      </c>
      <c r="T100" s="192">
        <v>0</v>
      </c>
      <c r="U100" s="196"/>
      <c r="V100" s="192">
        <f t="shared" si="19"/>
        <v>15079.34</v>
      </c>
      <c r="W100" s="192">
        <f t="shared" si="16"/>
        <v>2412.6943999999999</v>
      </c>
      <c r="X100" s="192">
        <f t="shared" si="17"/>
        <v>17492.0344</v>
      </c>
      <c r="Y100" s="398" t="s">
        <v>27</v>
      </c>
      <c r="Z100" s="398" t="s">
        <v>27</v>
      </c>
      <c r="AA100" s="398" t="s">
        <v>27</v>
      </c>
      <c r="AB100" s="196" t="s">
        <v>24</v>
      </c>
      <c r="AC100" s="196" t="s">
        <v>119</v>
      </c>
      <c r="AD100" s="196"/>
    </row>
    <row r="101" spans="1:30" ht="25.95" hidden="1" customHeight="1" x14ac:dyDescent="0.3">
      <c r="A101" s="196" t="s">
        <v>1338</v>
      </c>
      <c r="B101" s="196" t="s">
        <v>1502</v>
      </c>
      <c r="C101" s="413" t="s">
        <v>1934</v>
      </c>
      <c r="D101" s="196" t="s">
        <v>1547</v>
      </c>
      <c r="E101" s="414" t="s">
        <v>1935</v>
      </c>
      <c r="F101" s="413" t="s">
        <v>1304</v>
      </c>
      <c r="G101" s="414" t="s">
        <v>1528</v>
      </c>
      <c r="H101" s="414" t="s">
        <v>1578</v>
      </c>
      <c r="I101" s="411">
        <v>45839</v>
      </c>
      <c r="J101" s="196" t="s">
        <v>144</v>
      </c>
      <c r="K101" s="196" t="s">
        <v>1246</v>
      </c>
      <c r="L101" s="196" t="s">
        <v>57</v>
      </c>
      <c r="M101" s="196" t="s">
        <v>1248</v>
      </c>
      <c r="N101" s="196" t="s">
        <v>1249</v>
      </c>
      <c r="O101" s="196" t="s">
        <v>1250</v>
      </c>
      <c r="P101" s="401" t="s">
        <v>25</v>
      </c>
      <c r="Q101" s="192">
        <v>1758222.48</v>
      </c>
      <c r="R101" s="192">
        <f>Q101*0.15</f>
        <v>263733.37199999997</v>
      </c>
      <c r="S101" s="192" t="s">
        <v>26</v>
      </c>
      <c r="T101" s="192">
        <v>0</v>
      </c>
      <c r="U101" s="196"/>
      <c r="V101" s="192">
        <f t="shared" si="19"/>
        <v>263733.37199999997</v>
      </c>
      <c r="W101" s="192">
        <f t="shared" si="16"/>
        <v>42197.339519999994</v>
      </c>
      <c r="X101" s="192">
        <f t="shared" si="17"/>
        <v>305930.71151999995</v>
      </c>
      <c r="Y101" s="398" t="s">
        <v>27</v>
      </c>
      <c r="Z101" s="398" t="s">
        <v>1977</v>
      </c>
      <c r="AA101" s="398" t="s">
        <v>27</v>
      </c>
      <c r="AB101" s="196" t="s">
        <v>24</v>
      </c>
      <c r="AC101" s="196" t="s">
        <v>144</v>
      </c>
      <c r="AD101" s="196"/>
    </row>
    <row r="102" spans="1:30" ht="25.95" hidden="1" customHeight="1" x14ac:dyDescent="0.3">
      <c r="A102" s="196" t="s">
        <v>1227</v>
      </c>
      <c r="B102" s="196" t="s">
        <v>1487</v>
      </c>
      <c r="C102" s="413" t="s">
        <v>1516</v>
      </c>
      <c r="D102" s="196" t="s">
        <v>1547</v>
      </c>
      <c r="E102" s="414" t="s">
        <v>1250</v>
      </c>
      <c r="F102" s="413" t="s">
        <v>1250</v>
      </c>
      <c r="G102" s="414" t="s">
        <v>2003</v>
      </c>
      <c r="H102" s="414" t="s">
        <v>1488</v>
      </c>
      <c r="I102" s="411">
        <v>45821</v>
      </c>
      <c r="J102" s="196" t="s">
        <v>119</v>
      </c>
      <c r="K102" s="196" t="s">
        <v>1246</v>
      </c>
      <c r="L102" s="196" t="s">
        <v>57</v>
      </c>
      <c r="M102" s="196" t="s">
        <v>1248</v>
      </c>
      <c r="N102" s="196" t="s">
        <v>1249</v>
      </c>
      <c r="O102" s="196" t="s">
        <v>1250</v>
      </c>
      <c r="P102" s="401" t="s">
        <v>25</v>
      </c>
      <c r="Q102" s="192">
        <v>11421.03</v>
      </c>
      <c r="R102" s="192">
        <f>Q102*0.15</f>
        <v>1713.1545000000001</v>
      </c>
      <c r="S102" s="196" t="s">
        <v>26</v>
      </c>
      <c r="T102" s="192">
        <v>0</v>
      </c>
      <c r="U102" s="196"/>
      <c r="V102" s="192">
        <f t="shared" si="19"/>
        <v>1713.1545000000001</v>
      </c>
      <c r="W102" s="192">
        <f t="shared" si="16"/>
        <v>274.10472000000004</v>
      </c>
      <c r="X102" s="192">
        <f t="shared" si="17"/>
        <v>1987.2592200000001</v>
      </c>
      <c r="Y102" s="398" t="s">
        <v>27</v>
      </c>
      <c r="Z102" s="398" t="s">
        <v>27</v>
      </c>
      <c r="AA102" s="398" t="s">
        <v>27</v>
      </c>
      <c r="AB102" s="196" t="s">
        <v>24</v>
      </c>
      <c r="AC102" s="196" t="s">
        <v>119</v>
      </c>
      <c r="AD102" s="196"/>
    </row>
    <row r="103" spans="1:30" s="261" customFormat="1" ht="30" customHeight="1" x14ac:dyDescent="0.3">
      <c r="A103" s="202" t="s">
        <v>171</v>
      </c>
      <c r="B103" s="202" t="s">
        <v>1608</v>
      </c>
      <c r="C103" s="196" t="s">
        <v>1842</v>
      </c>
      <c r="D103" s="196" t="s">
        <v>1547</v>
      </c>
      <c r="E103" s="196" t="s">
        <v>1250</v>
      </c>
      <c r="F103" s="196" t="s">
        <v>1250</v>
      </c>
      <c r="G103" s="433">
        <v>51613</v>
      </c>
      <c r="H103" s="202" t="s">
        <v>1785</v>
      </c>
      <c r="I103" s="432">
        <v>45898</v>
      </c>
      <c r="J103" s="202" t="s">
        <v>73</v>
      </c>
      <c r="K103" s="202" t="s">
        <v>1246</v>
      </c>
      <c r="L103" s="202" t="s">
        <v>145</v>
      </c>
      <c r="M103" s="196" t="s">
        <v>1248</v>
      </c>
      <c r="N103" s="196" t="s">
        <v>1249</v>
      </c>
      <c r="O103" s="196" t="s">
        <v>1250</v>
      </c>
      <c r="P103" s="433" t="s">
        <v>142</v>
      </c>
      <c r="Q103" s="434">
        <v>669880</v>
      </c>
      <c r="R103" s="434">
        <f>Q103*0.2</f>
        <v>133976</v>
      </c>
      <c r="S103" s="202" t="s">
        <v>26</v>
      </c>
      <c r="T103" s="434">
        <v>0</v>
      </c>
      <c r="U103" s="202"/>
      <c r="V103" s="434">
        <f t="shared" si="19"/>
        <v>133976</v>
      </c>
      <c r="W103" s="434">
        <f t="shared" si="16"/>
        <v>21436.16</v>
      </c>
      <c r="X103" s="434">
        <f t="shared" si="17"/>
        <v>155412.16</v>
      </c>
      <c r="Y103" s="202" t="s">
        <v>340</v>
      </c>
      <c r="Z103" s="202" t="s">
        <v>340</v>
      </c>
      <c r="AA103" s="202" t="s">
        <v>1809</v>
      </c>
      <c r="AB103" s="202" t="s">
        <v>24</v>
      </c>
      <c r="AC103" s="202"/>
      <c r="AD103" s="202"/>
    </row>
    <row r="104" spans="1:30" s="443" customFormat="1" ht="25.95" customHeight="1" x14ac:dyDescent="0.3">
      <c r="A104" s="397" t="s">
        <v>1581</v>
      </c>
      <c r="B104" s="397" t="s">
        <v>1582</v>
      </c>
      <c r="C104" s="196" t="s">
        <v>1822</v>
      </c>
      <c r="D104" s="196" t="s">
        <v>1788</v>
      </c>
      <c r="E104" s="196" t="s">
        <v>1250</v>
      </c>
      <c r="F104" s="196" t="s">
        <v>1250</v>
      </c>
      <c r="G104" s="397" t="s">
        <v>1583</v>
      </c>
      <c r="H104" s="397" t="s">
        <v>1584</v>
      </c>
      <c r="I104" s="440">
        <v>45910</v>
      </c>
      <c r="J104" s="397" t="s">
        <v>170</v>
      </c>
      <c r="K104" s="397" t="s">
        <v>1246</v>
      </c>
      <c r="L104" s="397" t="s">
        <v>1350</v>
      </c>
      <c r="M104" s="196"/>
      <c r="N104" s="196"/>
      <c r="O104" s="196"/>
      <c r="P104" s="441" t="s">
        <v>142</v>
      </c>
      <c r="Q104" s="442">
        <v>68756.25</v>
      </c>
      <c r="R104" s="442">
        <f>Q104*0.15</f>
        <v>10313.4375</v>
      </c>
      <c r="S104" s="397" t="s">
        <v>26</v>
      </c>
      <c r="T104" s="442">
        <v>0</v>
      </c>
      <c r="U104" s="397"/>
      <c r="V104" s="442">
        <f>R104</f>
        <v>10313.4375</v>
      </c>
      <c r="W104" s="442">
        <f t="shared" si="16"/>
        <v>1650.15</v>
      </c>
      <c r="X104" s="442">
        <f t="shared" si="17"/>
        <v>11963.5875</v>
      </c>
      <c r="Y104" s="397" t="s">
        <v>340</v>
      </c>
      <c r="Z104" s="397" t="s">
        <v>340</v>
      </c>
      <c r="AA104" s="397" t="s">
        <v>340</v>
      </c>
      <c r="AB104" s="397" t="s">
        <v>155</v>
      </c>
      <c r="AC104" s="397"/>
      <c r="AD104" s="397"/>
    </row>
    <row r="105" spans="1:30" ht="25.95" customHeight="1" x14ac:dyDescent="0.3">
      <c r="A105" s="196" t="s">
        <v>1337</v>
      </c>
      <c r="B105" s="196" t="s">
        <v>2072</v>
      </c>
      <c r="C105" s="196" t="s">
        <v>1545</v>
      </c>
      <c r="D105" s="196" t="s">
        <v>1547</v>
      </c>
      <c r="E105" s="196" t="s">
        <v>1250</v>
      </c>
      <c r="F105" s="196" t="s">
        <v>1250</v>
      </c>
      <c r="G105" s="196" t="s">
        <v>1250</v>
      </c>
      <c r="H105" s="196" t="s">
        <v>1250</v>
      </c>
      <c r="I105" s="411" t="s">
        <v>1250</v>
      </c>
      <c r="J105" s="196" t="s">
        <v>1250</v>
      </c>
      <c r="K105" s="196" t="s">
        <v>1246</v>
      </c>
      <c r="L105" s="196" t="s">
        <v>2073</v>
      </c>
      <c r="M105" s="196"/>
      <c r="N105" s="196"/>
      <c r="O105" s="196"/>
      <c r="P105" s="401" t="s">
        <v>769</v>
      </c>
      <c r="Q105" s="192">
        <v>0</v>
      </c>
      <c r="R105" s="192">
        <v>0</v>
      </c>
      <c r="S105" s="196" t="s">
        <v>1336</v>
      </c>
      <c r="T105" s="192">
        <v>0</v>
      </c>
      <c r="U105" s="196"/>
      <c r="V105" s="192">
        <v>0</v>
      </c>
      <c r="W105" s="192">
        <v>0</v>
      </c>
      <c r="X105" s="192">
        <v>0</v>
      </c>
      <c r="Y105" s="422" t="s">
        <v>761</v>
      </c>
      <c r="Z105" s="422" t="s">
        <v>761</v>
      </c>
      <c r="AA105" s="422" t="s">
        <v>761</v>
      </c>
      <c r="AB105" s="196"/>
      <c r="AC105" s="196"/>
      <c r="AD105" s="196"/>
    </row>
    <row r="106" spans="1:30" ht="25.95" hidden="1" customHeight="1" x14ac:dyDescent="0.3">
      <c r="A106" s="196" t="s">
        <v>1529</v>
      </c>
      <c r="B106" s="196" t="s">
        <v>1605</v>
      </c>
      <c r="C106" s="413" t="s">
        <v>1516</v>
      </c>
      <c r="D106" s="196" t="s">
        <v>1547</v>
      </c>
      <c r="E106" s="414" t="s">
        <v>1250</v>
      </c>
      <c r="F106" s="413" t="s">
        <v>1250</v>
      </c>
      <c r="G106" s="414" t="s">
        <v>1606</v>
      </c>
      <c r="H106" s="414" t="s">
        <v>1607</v>
      </c>
      <c r="I106" s="411">
        <v>45849</v>
      </c>
      <c r="J106" s="196" t="s">
        <v>144</v>
      </c>
      <c r="K106" s="196" t="s">
        <v>1246</v>
      </c>
      <c r="L106" s="196" t="s">
        <v>57</v>
      </c>
      <c r="M106" s="196" t="s">
        <v>1254</v>
      </c>
      <c r="N106" s="196" t="s">
        <v>1249</v>
      </c>
      <c r="O106" s="196" t="s">
        <v>46</v>
      </c>
      <c r="P106" s="401" t="s">
        <v>315</v>
      </c>
      <c r="Q106" s="192">
        <v>224675.09</v>
      </c>
      <c r="R106" s="192">
        <f>Q106*0.15</f>
        <v>33701.263500000001</v>
      </c>
      <c r="S106" s="192" t="s">
        <v>72</v>
      </c>
      <c r="T106" s="192">
        <f>R106*0.6</f>
        <v>20220.758099999999</v>
      </c>
      <c r="U106" s="196"/>
      <c r="V106" s="192">
        <f>R106*0.4</f>
        <v>13480.505400000002</v>
      </c>
      <c r="W106" s="192">
        <f>R106*0.16</f>
        <v>5392.2021599999998</v>
      </c>
      <c r="X106" s="192">
        <f>R106+W106</f>
        <v>39093.465660000002</v>
      </c>
      <c r="Y106" s="398" t="s">
        <v>27</v>
      </c>
      <c r="Z106" s="398" t="s">
        <v>1976</v>
      </c>
      <c r="AA106" s="398" t="s">
        <v>27</v>
      </c>
      <c r="AB106" s="196" t="s">
        <v>46</v>
      </c>
      <c r="AC106" s="196" t="s">
        <v>144</v>
      </c>
      <c r="AD106" s="196" t="s">
        <v>1802</v>
      </c>
    </row>
    <row r="107" spans="1:30" ht="25.95" hidden="1" customHeight="1" x14ac:dyDescent="0.3">
      <c r="A107" s="196" t="s">
        <v>1362</v>
      </c>
      <c r="B107" s="196" t="s">
        <v>1498</v>
      </c>
      <c r="C107" s="196" t="s">
        <v>1719</v>
      </c>
      <c r="D107" s="196" t="s">
        <v>1547</v>
      </c>
      <c r="E107" s="196" t="s">
        <v>1250</v>
      </c>
      <c r="F107" s="196" t="s">
        <v>1250</v>
      </c>
      <c r="G107" s="196" t="s">
        <v>1574</v>
      </c>
      <c r="H107" s="196" t="s">
        <v>1936</v>
      </c>
      <c r="I107" s="411">
        <v>45863</v>
      </c>
      <c r="J107" s="196" t="s">
        <v>144</v>
      </c>
      <c r="K107" s="196" t="s">
        <v>1246</v>
      </c>
      <c r="L107" s="196" t="s">
        <v>1091</v>
      </c>
      <c r="M107" s="196" t="s">
        <v>1248</v>
      </c>
      <c r="N107" s="196" t="s">
        <v>1249</v>
      </c>
      <c r="O107" s="196" t="s">
        <v>1250</v>
      </c>
      <c r="P107" s="401" t="s">
        <v>769</v>
      </c>
      <c r="Q107" s="192">
        <v>39959</v>
      </c>
      <c r="R107" s="192">
        <f>Q107*0.17</f>
        <v>6793.0300000000007</v>
      </c>
      <c r="S107" s="196" t="s">
        <v>26</v>
      </c>
      <c r="T107" s="192">
        <v>0</v>
      </c>
      <c r="U107" s="196"/>
      <c r="V107" s="192">
        <f>R107</f>
        <v>6793.0300000000007</v>
      </c>
      <c r="W107" s="192">
        <f>R107*0.16</f>
        <v>1086.8848</v>
      </c>
      <c r="X107" s="192">
        <f>R107+W107</f>
        <v>7879.9148000000005</v>
      </c>
      <c r="Y107" s="398" t="s">
        <v>27</v>
      </c>
      <c r="Z107" s="190" t="s">
        <v>27</v>
      </c>
      <c r="AA107" s="398" t="s">
        <v>27</v>
      </c>
      <c r="AB107" s="196" t="s">
        <v>155</v>
      </c>
      <c r="AC107" s="196" t="s">
        <v>170</v>
      </c>
      <c r="AD107" s="196"/>
    </row>
    <row r="108" spans="1:30" ht="25.95" hidden="1" customHeight="1" x14ac:dyDescent="0.3">
      <c r="A108" s="196" t="s">
        <v>1227</v>
      </c>
      <c r="B108" s="196" t="s">
        <v>1549</v>
      </c>
      <c r="C108" s="413" t="s">
        <v>1516</v>
      </c>
      <c r="D108" s="196" t="s">
        <v>1547</v>
      </c>
      <c r="E108" s="414" t="s">
        <v>1250</v>
      </c>
      <c r="F108" s="413" t="s">
        <v>1250</v>
      </c>
      <c r="G108" s="414" t="s">
        <v>2004</v>
      </c>
      <c r="H108" s="414" t="s">
        <v>1562</v>
      </c>
      <c r="I108" s="411">
        <v>45865</v>
      </c>
      <c r="J108" s="196" t="s">
        <v>144</v>
      </c>
      <c r="K108" s="196" t="s">
        <v>1246</v>
      </c>
      <c r="L108" s="196" t="s">
        <v>57</v>
      </c>
      <c r="M108" s="196" t="s">
        <v>1248</v>
      </c>
      <c r="N108" s="196" t="s">
        <v>1249</v>
      </c>
      <c r="O108" s="196" t="s">
        <v>1250</v>
      </c>
      <c r="P108" s="401" t="s">
        <v>25</v>
      </c>
      <c r="Q108" s="192">
        <v>24499.923999999999</v>
      </c>
      <c r="R108" s="192">
        <f>Q108*0.15</f>
        <v>3674.9885999999997</v>
      </c>
      <c r="S108" s="196" t="s">
        <v>26</v>
      </c>
      <c r="T108" s="192">
        <v>0</v>
      </c>
      <c r="U108" s="196"/>
      <c r="V108" s="192">
        <f>R108</f>
        <v>3674.9885999999997</v>
      </c>
      <c r="W108" s="192">
        <f>R108*0.16</f>
        <v>587.99817599999994</v>
      </c>
      <c r="X108" s="192">
        <f>R108+W108</f>
        <v>4262.9867759999997</v>
      </c>
      <c r="Y108" s="398" t="s">
        <v>27</v>
      </c>
      <c r="Z108" s="398" t="s">
        <v>1975</v>
      </c>
      <c r="AA108" s="398" t="s">
        <v>27</v>
      </c>
      <c r="AB108" s="196" t="s">
        <v>155</v>
      </c>
      <c r="AC108" s="196" t="s">
        <v>73</v>
      </c>
      <c r="AD108" s="196"/>
    </row>
    <row r="109" spans="1:30" ht="25.95" customHeight="1" x14ac:dyDescent="0.3">
      <c r="A109" s="196" t="s">
        <v>1374</v>
      </c>
      <c r="B109" s="196" t="s">
        <v>1375</v>
      </c>
      <c r="C109" s="196" t="s">
        <v>1659</v>
      </c>
      <c r="D109" s="196" t="s">
        <v>1547</v>
      </c>
      <c r="E109" s="196" t="s">
        <v>1250</v>
      </c>
      <c r="F109" s="196" t="s">
        <v>1250</v>
      </c>
      <c r="G109" s="196" t="s">
        <v>1250</v>
      </c>
      <c r="H109" s="196" t="s">
        <v>1250</v>
      </c>
      <c r="I109" s="411" t="s">
        <v>1250</v>
      </c>
      <c r="J109" s="196" t="s">
        <v>1250</v>
      </c>
      <c r="K109" s="196" t="s">
        <v>1246</v>
      </c>
      <c r="L109" s="196" t="s">
        <v>1350</v>
      </c>
      <c r="M109" s="196"/>
      <c r="N109" s="196" t="s">
        <v>1249</v>
      </c>
      <c r="O109" s="196" t="s">
        <v>1250</v>
      </c>
      <c r="P109" s="401"/>
      <c r="Q109" s="192">
        <v>0</v>
      </c>
      <c r="R109" s="192">
        <v>0</v>
      </c>
      <c r="S109" s="196"/>
      <c r="T109" s="192">
        <v>0</v>
      </c>
      <c r="U109" s="196"/>
      <c r="V109" s="192">
        <v>0</v>
      </c>
      <c r="W109" s="192">
        <v>0</v>
      </c>
      <c r="X109" s="192">
        <v>0</v>
      </c>
      <c r="Y109" s="422" t="s">
        <v>761</v>
      </c>
      <c r="Z109" s="422" t="s">
        <v>761</v>
      </c>
      <c r="AA109" s="422" t="s">
        <v>761</v>
      </c>
      <c r="AB109" s="196"/>
      <c r="AC109" s="196"/>
      <c r="AD109" s="196"/>
    </row>
    <row r="110" spans="1:30" s="443" customFormat="1" ht="25.95" customHeight="1" x14ac:dyDescent="0.3">
      <c r="A110" s="183" t="s">
        <v>1176</v>
      </c>
      <c r="B110" s="183" t="s">
        <v>1479</v>
      </c>
      <c r="C110" s="196" t="s">
        <v>1937</v>
      </c>
      <c r="D110" s="196" t="s">
        <v>1546</v>
      </c>
      <c r="E110" s="196" t="s">
        <v>1250</v>
      </c>
      <c r="F110" s="196" t="s">
        <v>1250</v>
      </c>
      <c r="G110" s="185" t="s">
        <v>1706</v>
      </c>
      <c r="H110" s="183" t="s">
        <v>1707</v>
      </c>
      <c r="I110" s="191">
        <v>45939</v>
      </c>
      <c r="J110" s="183" t="s">
        <v>209</v>
      </c>
      <c r="K110" s="183" t="s">
        <v>1246</v>
      </c>
      <c r="L110" s="185" t="s">
        <v>213</v>
      </c>
      <c r="M110" s="196" t="s">
        <v>1248</v>
      </c>
      <c r="N110" s="196" t="s">
        <v>1249</v>
      </c>
      <c r="O110" s="196" t="s">
        <v>1250</v>
      </c>
      <c r="P110" s="185" t="s">
        <v>47</v>
      </c>
      <c r="Q110" s="188">
        <v>434500</v>
      </c>
      <c r="R110" s="188">
        <f>Q110*0.12</f>
        <v>52140</v>
      </c>
      <c r="S110" s="183" t="s">
        <v>26</v>
      </c>
      <c r="T110" s="188">
        <v>0</v>
      </c>
      <c r="U110" s="183"/>
      <c r="V110" s="188">
        <f>R110</f>
        <v>52140</v>
      </c>
      <c r="W110" s="188">
        <f t="shared" ref="W110" si="20">R110*0.16</f>
        <v>8342.4</v>
      </c>
      <c r="X110" s="188">
        <f t="shared" ref="X110" si="21">R110+W110</f>
        <v>60482.400000000001</v>
      </c>
      <c r="Y110" s="397" t="s">
        <v>340</v>
      </c>
      <c r="Z110" s="430" t="s">
        <v>2041</v>
      </c>
      <c r="AA110" s="397" t="s">
        <v>340</v>
      </c>
      <c r="AB110" s="183" t="s">
        <v>24</v>
      </c>
      <c r="AC110" s="183"/>
      <c r="AD110" s="183"/>
    </row>
    <row r="111" spans="1:30" ht="25.95" hidden="1" customHeight="1" x14ac:dyDescent="0.3">
      <c r="A111" s="196" t="s">
        <v>1642</v>
      </c>
      <c r="B111" s="196" t="s">
        <v>1613</v>
      </c>
      <c r="C111" s="413" t="s">
        <v>1711</v>
      </c>
      <c r="D111" s="196" t="s">
        <v>1546</v>
      </c>
      <c r="E111" s="414" t="s">
        <v>1938</v>
      </c>
      <c r="F111" s="413" t="s">
        <v>1712</v>
      </c>
      <c r="G111" s="414" t="s">
        <v>1713</v>
      </c>
      <c r="H111" s="414" t="s">
        <v>1714</v>
      </c>
      <c r="I111" s="411">
        <v>45866</v>
      </c>
      <c r="J111" s="196" t="s">
        <v>144</v>
      </c>
      <c r="K111" s="196" t="s">
        <v>1246</v>
      </c>
      <c r="L111" s="196" t="s">
        <v>57</v>
      </c>
      <c r="M111" s="196" t="s">
        <v>1248</v>
      </c>
      <c r="N111" s="196" t="s">
        <v>1249</v>
      </c>
      <c r="O111" s="196" t="s">
        <v>46</v>
      </c>
      <c r="P111" s="401" t="s">
        <v>315</v>
      </c>
      <c r="Q111" s="192">
        <v>127850.26</v>
      </c>
      <c r="R111" s="192">
        <f>Q111*0.15</f>
        <v>19177.538999999997</v>
      </c>
      <c r="S111" s="192" t="s">
        <v>72</v>
      </c>
      <c r="T111" s="192">
        <f>R111*0.6</f>
        <v>11506.523399999998</v>
      </c>
      <c r="U111" s="196"/>
      <c r="V111" s="192">
        <f>R111*0.4</f>
        <v>7671.0155999999988</v>
      </c>
      <c r="W111" s="192">
        <f>R111*0.16</f>
        <v>3068.4062399999998</v>
      </c>
      <c r="X111" s="192">
        <f>R111+W111</f>
        <v>22245.945239999997</v>
      </c>
      <c r="Y111" s="398" t="s">
        <v>27</v>
      </c>
      <c r="Z111" s="398" t="s">
        <v>1974</v>
      </c>
      <c r="AA111" s="398" t="s">
        <v>27</v>
      </c>
      <c r="AB111" s="196" t="s">
        <v>46</v>
      </c>
      <c r="AC111" s="196" t="s">
        <v>144</v>
      </c>
      <c r="AD111" s="402" t="s">
        <v>1800</v>
      </c>
    </row>
    <row r="112" spans="1:30" ht="25.95" customHeight="1" x14ac:dyDescent="0.3">
      <c r="A112" s="196" t="s">
        <v>1515</v>
      </c>
      <c r="B112" s="196" t="s">
        <v>1514</v>
      </c>
      <c r="C112" s="196" t="s">
        <v>1939</v>
      </c>
      <c r="D112" s="196" t="s">
        <v>1609</v>
      </c>
      <c r="E112" s="196"/>
      <c r="F112" s="196"/>
      <c r="G112" s="196"/>
      <c r="H112" s="196"/>
      <c r="I112" s="411"/>
      <c r="J112" s="196"/>
      <c r="K112" s="196" t="s">
        <v>1246</v>
      </c>
      <c r="L112" s="196" t="s">
        <v>57</v>
      </c>
      <c r="M112" s="196" t="s">
        <v>1248</v>
      </c>
      <c r="N112" s="196" t="s">
        <v>1249</v>
      </c>
      <c r="O112" s="196" t="s">
        <v>1250</v>
      </c>
      <c r="P112" s="401" t="s">
        <v>25</v>
      </c>
      <c r="Q112" s="192">
        <v>0</v>
      </c>
      <c r="R112" s="192">
        <v>0</v>
      </c>
      <c r="S112" s="196"/>
      <c r="T112" s="192">
        <v>0</v>
      </c>
      <c r="U112" s="196"/>
      <c r="V112" s="192">
        <v>0</v>
      </c>
      <c r="W112" s="192">
        <v>0</v>
      </c>
      <c r="X112" s="192">
        <v>0</v>
      </c>
      <c r="Y112" s="422" t="s">
        <v>761</v>
      </c>
      <c r="Z112" s="422" t="s">
        <v>761</v>
      </c>
      <c r="AA112" s="422" t="s">
        <v>761</v>
      </c>
      <c r="AB112" s="196" t="s">
        <v>24</v>
      </c>
      <c r="AC112" s="196"/>
      <c r="AD112" s="196"/>
    </row>
    <row r="113" spans="1:47" ht="25.95" customHeight="1" x14ac:dyDescent="0.3">
      <c r="A113" s="196" t="s">
        <v>1334</v>
      </c>
      <c r="B113" s="196" t="s">
        <v>1335</v>
      </c>
      <c r="C113" s="196" t="s">
        <v>1940</v>
      </c>
      <c r="D113" s="196" t="s">
        <v>1547</v>
      </c>
      <c r="E113" s="196"/>
      <c r="F113" s="196"/>
      <c r="G113" s="196"/>
      <c r="H113" s="196"/>
      <c r="I113" s="411"/>
      <c r="J113" s="196"/>
      <c r="K113" s="196" t="s">
        <v>1246</v>
      </c>
      <c r="L113" s="196"/>
      <c r="M113" s="196"/>
      <c r="N113" s="196"/>
      <c r="O113" s="196"/>
      <c r="P113" s="401"/>
      <c r="Q113" s="192">
        <v>0</v>
      </c>
      <c r="R113" s="192">
        <v>0</v>
      </c>
      <c r="S113" s="196" t="s">
        <v>1336</v>
      </c>
      <c r="T113" s="192">
        <v>0</v>
      </c>
      <c r="U113" s="196"/>
      <c r="V113" s="192">
        <v>0</v>
      </c>
      <c r="W113" s="192">
        <v>0</v>
      </c>
      <c r="X113" s="192">
        <v>0</v>
      </c>
      <c r="Y113" s="422" t="s">
        <v>761</v>
      </c>
      <c r="Z113" s="422" t="s">
        <v>761</v>
      </c>
      <c r="AA113" s="422" t="s">
        <v>761</v>
      </c>
      <c r="AB113" s="196"/>
      <c r="AC113" s="196"/>
      <c r="AD113" s="196"/>
    </row>
    <row r="114" spans="1:47" ht="25.95" customHeight="1" x14ac:dyDescent="0.3">
      <c r="A114" s="196" t="s">
        <v>817</v>
      </c>
      <c r="B114" s="196" t="s">
        <v>1318</v>
      </c>
      <c r="C114" s="196" t="s">
        <v>1516</v>
      </c>
      <c r="D114" s="196" t="s">
        <v>1547</v>
      </c>
      <c r="E114" s="196" t="s">
        <v>1250</v>
      </c>
      <c r="F114" s="196" t="s">
        <v>1250</v>
      </c>
      <c r="G114" s="196" t="s">
        <v>1667</v>
      </c>
      <c r="H114" s="196" t="s">
        <v>1666</v>
      </c>
      <c r="I114" s="411">
        <v>45701</v>
      </c>
      <c r="J114" s="196" t="s">
        <v>54</v>
      </c>
      <c r="K114" s="196" t="s">
        <v>1246</v>
      </c>
      <c r="L114" s="196" t="s">
        <v>595</v>
      </c>
      <c r="M114" s="196" t="s">
        <v>417</v>
      </c>
      <c r="N114" s="196" t="s">
        <v>1249</v>
      </c>
      <c r="O114" s="196"/>
      <c r="P114" s="401" t="s">
        <v>1349</v>
      </c>
      <c r="Q114" s="192">
        <f>77810*20</f>
        <v>1556200</v>
      </c>
      <c r="R114" s="192">
        <v>155620</v>
      </c>
      <c r="S114" s="196" t="s">
        <v>26</v>
      </c>
      <c r="T114" s="192">
        <v>0</v>
      </c>
      <c r="U114" s="196"/>
      <c r="V114" s="192">
        <v>0</v>
      </c>
      <c r="W114" s="192">
        <v>0</v>
      </c>
      <c r="X114" s="192">
        <v>0</v>
      </c>
      <c r="Y114" s="422" t="s">
        <v>761</v>
      </c>
      <c r="Z114" s="422" t="s">
        <v>761</v>
      </c>
      <c r="AA114" s="422" t="s">
        <v>761</v>
      </c>
      <c r="AB114" s="196" t="s">
        <v>1506</v>
      </c>
      <c r="AC114" s="196"/>
      <c r="AD114" s="196"/>
    </row>
    <row r="115" spans="1:47" ht="25.95" customHeight="1" x14ac:dyDescent="0.3">
      <c r="A115" s="196" t="s">
        <v>1407</v>
      </c>
      <c r="B115" s="196" t="s">
        <v>1359</v>
      </c>
      <c r="C115" s="196" t="s">
        <v>1648</v>
      </c>
      <c r="D115" s="196" t="s">
        <v>1788</v>
      </c>
      <c r="E115" s="196"/>
      <c r="F115" s="196"/>
      <c r="G115" s="196"/>
      <c r="H115" s="196"/>
      <c r="I115" s="411"/>
      <c r="J115" s="196"/>
      <c r="K115" s="196" t="s">
        <v>1246</v>
      </c>
      <c r="L115" s="196"/>
      <c r="M115" s="196"/>
      <c r="N115" s="196"/>
      <c r="O115" s="196"/>
      <c r="P115" s="401"/>
      <c r="Q115" s="192">
        <v>0</v>
      </c>
      <c r="R115" s="192">
        <v>0</v>
      </c>
      <c r="S115" s="196"/>
      <c r="T115" s="192">
        <v>0</v>
      </c>
      <c r="U115" s="196"/>
      <c r="V115" s="192">
        <v>0</v>
      </c>
      <c r="W115" s="192">
        <v>0</v>
      </c>
      <c r="X115" s="192">
        <v>0</v>
      </c>
      <c r="Y115" s="422" t="s">
        <v>761</v>
      </c>
      <c r="Z115" s="422" t="s">
        <v>761</v>
      </c>
      <c r="AA115" s="422" t="s">
        <v>761</v>
      </c>
      <c r="AB115" s="196"/>
      <c r="AC115" s="196"/>
      <c r="AD115" s="196"/>
    </row>
    <row r="116" spans="1:47" ht="24.6" customHeight="1" x14ac:dyDescent="0.3">
      <c r="A116" s="196" t="s">
        <v>1372</v>
      </c>
      <c r="B116" s="196" t="s">
        <v>1371</v>
      </c>
      <c r="C116" s="196" t="s">
        <v>1761</v>
      </c>
      <c r="D116" s="196" t="s">
        <v>1546</v>
      </c>
      <c r="E116" s="196"/>
      <c r="F116" s="196"/>
      <c r="G116" s="196"/>
      <c r="H116" s="196"/>
      <c r="I116" s="411"/>
      <c r="J116" s="196"/>
      <c r="K116" s="196" t="s">
        <v>1246</v>
      </c>
      <c r="L116" s="196"/>
      <c r="M116" s="196"/>
      <c r="N116" s="196"/>
      <c r="O116" s="196"/>
      <c r="P116" s="401"/>
      <c r="Q116" s="192">
        <v>0</v>
      </c>
      <c r="R116" s="192">
        <v>0</v>
      </c>
      <c r="S116" s="196"/>
      <c r="T116" s="192">
        <v>0</v>
      </c>
      <c r="U116" s="196"/>
      <c r="V116" s="192">
        <v>0</v>
      </c>
      <c r="W116" s="192">
        <v>0</v>
      </c>
      <c r="X116" s="192">
        <v>0</v>
      </c>
      <c r="Y116" s="422" t="s">
        <v>761</v>
      </c>
      <c r="Z116" s="422" t="s">
        <v>761</v>
      </c>
      <c r="AA116" s="422" t="s">
        <v>761</v>
      </c>
      <c r="AB116" s="196"/>
      <c r="AC116" s="196"/>
      <c r="AD116" s="196"/>
    </row>
    <row r="117" spans="1:47" ht="25.95" hidden="1" customHeight="1" x14ac:dyDescent="0.3">
      <c r="A117" s="196" t="s">
        <v>528</v>
      </c>
      <c r="B117" s="196" t="s">
        <v>1518</v>
      </c>
      <c r="C117" s="413" t="s">
        <v>1516</v>
      </c>
      <c r="D117" s="196" t="s">
        <v>1547</v>
      </c>
      <c r="E117" s="414" t="s">
        <v>1250</v>
      </c>
      <c r="F117" s="413" t="s">
        <v>1250</v>
      </c>
      <c r="G117" s="414" t="s">
        <v>1579</v>
      </c>
      <c r="H117" s="414" t="s">
        <v>1580</v>
      </c>
      <c r="I117" s="411">
        <v>45848</v>
      </c>
      <c r="J117" s="196" t="s">
        <v>144</v>
      </c>
      <c r="K117" s="196" t="s">
        <v>1246</v>
      </c>
      <c r="L117" s="196" t="s">
        <v>57</v>
      </c>
      <c r="M117" s="196" t="s">
        <v>1248</v>
      </c>
      <c r="N117" s="196" t="s">
        <v>1249</v>
      </c>
      <c r="O117" s="196" t="s">
        <v>1250</v>
      </c>
      <c r="P117" s="401" t="s">
        <v>25</v>
      </c>
      <c r="Q117" s="192">
        <v>265000</v>
      </c>
      <c r="R117" s="192">
        <f>Q117*0.15</f>
        <v>39750</v>
      </c>
      <c r="S117" s="192" t="s">
        <v>72</v>
      </c>
      <c r="T117" s="192">
        <f>R117*0.6</f>
        <v>23850</v>
      </c>
      <c r="U117" s="196"/>
      <c r="V117" s="192">
        <f>R117*0.4</f>
        <v>15900</v>
      </c>
      <c r="W117" s="192">
        <f>R117*0.16</f>
        <v>6360</v>
      </c>
      <c r="X117" s="192">
        <f>R117+W117</f>
        <v>46110</v>
      </c>
      <c r="Y117" s="398" t="s">
        <v>27</v>
      </c>
      <c r="Z117" s="398" t="s">
        <v>1973</v>
      </c>
      <c r="AA117" s="398" t="s">
        <v>27</v>
      </c>
      <c r="AB117" s="196" t="s">
        <v>46</v>
      </c>
      <c r="AC117" s="196" t="s">
        <v>73</v>
      </c>
      <c r="AD117" s="196"/>
    </row>
    <row r="118" spans="1:47" ht="25.95" customHeight="1" x14ac:dyDescent="0.3">
      <c r="A118" s="196" t="s">
        <v>1373</v>
      </c>
      <c r="B118" s="196" t="s">
        <v>1350</v>
      </c>
      <c r="C118" s="196" t="s">
        <v>1758</v>
      </c>
      <c r="D118" s="196" t="s">
        <v>1546</v>
      </c>
      <c r="E118" s="196"/>
      <c r="F118" s="196"/>
      <c r="G118" s="196"/>
      <c r="H118" s="196"/>
      <c r="I118" s="411"/>
      <c r="J118" s="196"/>
      <c r="K118" s="196" t="s">
        <v>1246</v>
      </c>
      <c r="L118" s="196" t="s">
        <v>1350</v>
      </c>
      <c r="M118" s="196"/>
      <c r="N118" s="196" t="s">
        <v>1249</v>
      </c>
      <c r="O118" s="196" t="s">
        <v>1250</v>
      </c>
      <c r="P118" s="401"/>
      <c r="Q118" s="192">
        <v>0</v>
      </c>
      <c r="R118" s="192">
        <v>0</v>
      </c>
      <c r="S118" s="196"/>
      <c r="T118" s="192">
        <v>0</v>
      </c>
      <c r="U118" s="196"/>
      <c r="V118" s="192">
        <v>0</v>
      </c>
      <c r="W118" s="192">
        <v>0</v>
      </c>
      <c r="X118" s="192">
        <v>0</v>
      </c>
      <c r="Y118" s="422" t="s">
        <v>761</v>
      </c>
      <c r="Z118" s="422" t="s">
        <v>761</v>
      </c>
      <c r="AA118" s="422" t="s">
        <v>761</v>
      </c>
      <c r="AB118" s="196"/>
      <c r="AC118" s="196"/>
      <c r="AD118" s="196"/>
    </row>
    <row r="119" spans="1:47" ht="25.95" customHeight="1" x14ac:dyDescent="0.3">
      <c r="A119" s="196" t="s">
        <v>757</v>
      </c>
      <c r="B119" s="196" t="s">
        <v>1410</v>
      </c>
      <c r="C119" s="196" t="s">
        <v>1577</v>
      </c>
      <c r="D119" s="196" t="s">
        <v>1546</v>
      </c>
      <c r="E119" s="196"/>
      <c r="F119" s="196"/>
      <c r="G119" s="196"/>
      <c r="H119" s="196"/>
      <c r="I119" s="411"/>
      <c r="J119" s="196"/>
      <c r="K119" s="196" t="s">
        <v>1246</v>
      </c>
      <c r="L119" s="196" t="s">
        <v>57</v>
      </c>
      <c r="M119" s="196" t="s">
        <v>1271</v>
      </c>
      <c r="N119" s="196" t="s">
        <v>1249</v>
      </c>
      <c r="O119" s="196" t="s">
        <v>1325</v>
      </c>
      <c r="P119" s="401" t="s">
        <v>47</v>
      </c>
      <c r="Q119" s="192">
        <v>0</v>
      </c>
      <c r="R119" s="192">
        <v>0</v>
      </c>
      <c r="S119" s="196"/>
      <c r="T119" s="192">
        <v>0</v>
      </c>
      <c r="U119" s="196"/>
      <c r="V119" s="192">
        <v>0</v>
      </c>
      <c r="W119" s="192">
        <v>0</v>
      </c>
      <c r="X119" s="192">
        <v>0</v>
      </c>
      <c r="Y119" s="422" t="s">
        <v>761</v>
      </c>
      <c r="Z119" s="422" t="s">
        <v>761</v>
      </c>
      <c r="AA119" s="422" t="s">
        <v>761</v>
      </c>
      <c r="AB119" s="196"/>
      <c r="AC119" s="196"/>
      <c r="AD119" s="196"/>
    </row>
    <row r="120" spans="1:47" ht="25.95" customHeight="1" x14ac:dyDescent="0.3">
      <c r="A120" s="196" t="s">
        <v>757</v>
      </c>
      <c r="B120" s="196" t="s">
        <v>1410</v>
      </c>
      <c r="C120" s="196" t="s">
        <v>1669</v>
      </c>
      <c r="D120" s="196" t="s">
        <v>1546</v>
      </c>
      <c r="E120" s="196"/>
      <c r="F120" s="196"/>
      <c r="G120" s="196"/>
      <c r="H120" s="196"/>
      <c r="I120" s="411"/>
      <c r="J120" s="196"/>
      <c r="K120" s="196" t="s">
        <v>1246</v>
      </c>
      <c r="L120" s="196" t="s">
        <v>213</v>
      </c>
      <c r="M120" s="196" t="s">
        <v>1271</v>
      </c>
      <c r="N120" s="196" t="s">
        <v>1249</v>
      </c>
      <c r="O120" s="196" t="s">
        <v>1250</v>
      </c>
      <c r="P120" s="401" t="s">
        <v>47</v>
      </c>
      <c r="Q120" s="192">
        <v>0</v>
      </c>
      <c r="R120" s="192">
        <v>0</v>
      </c>
      <c r="S120" s="196"/>
      <c r="T120" s="192">
        <v>0</v>
      </c>
      <c r="U120" s="196"/>
      <c r="V120" s="192">
        <v>0</v>
      </c>
      <c r="W120" s="192">
        <v>0</v>
      </c>
      <c r="X120" s="192">
        <v>0</v>
      </c>
      <c r="Y120" s="422" t="s">
        <v>761</v>
      </c>
      <c r="Z120" s="422" t="s">
        <v>761</v>
      </c>
      <c r="AA120" s="422" t="s">
        <v>761</v>
      </c>
      <c r="AB120" s="196"/>
      <c r="AC120" s="196"/>
      <c r="AD120" s="196"/>
    </row>
    <row r="121" spans="1:47" ht="25.95" customHeight="1" x14ac:dyDescent="0.3">
      <c r="A121" s="196" t="s">
        <v>1413</v>
      </c>
      <c r="B121" s="196" t="s">
        <v>1411</v>
      </c>
      <c r="C121" s="196" t="s">
        <v>1759</v>
      </c>
      <c r="D121" s="196" t="s">
        <v>1546</v>
      </c>
      <c r="E121" s="196"/>
      <c r="F121" s="196"/>
      <c r="G121" s="196"/>
      <c r="H121" s="196"/>
      <c r="I121" s="411"/>
      <c r="J121" s="196"/>
      <c r="K121" s="196" t="s">
        <v>1246</v>
      </c>
      <c r="L121" s="196" t="s">
        <v>213</v>
      </c>
      <c r="M121" s="196" t="s">
        <v>1271</v>
      </c>
      <c r="N121" s="196" t="s">
        <v>1249</v>
      </c>
      <c r="O121" s="196" t="s">
        <v>1325</v>
      </c>
      <c r="P121" s="401" t="s">
        <v>47</v>
      </c>
      <c r="Q121" s="192">
        <v>0</v>
      </c>
      <c r="R121" s="192">
        <v>0</v>
      </c>
      <c r="S121" s="196"/>
      <c r="T121" s="192">
        <v>0</v>
      </c>
      <c r="U121" s="196"/>
      <c r="V121" s="192">
        <v>0</v>
      </c>
      <c r="W121" s="192">
        <v>0</v>
      </c>
      <c r="X121" s="192">
        <v>0</v>
      </c>
      <c r="Y121" s="422" t="s">
        <v>761</v>
      </c>
      <c r="Z121" s="422" t="s">
        <v>761</v>
      </c>
      <c r="AA121" s="422" t="s">
        <v>761</v>
      </c>
      <c r="AB121" s="196"/>
      <c r="AC121" s="196"/>
      <c r="AD121" s="196"/>
    </row>
    <row r="122" spans="1:47" ht="25.95" customHeight="1" x14ac:dyDescent="0.3">
      <c r="A122" s="196" t="s">
        <v>1326</v>
      </c>
      <c r="B122" s="196" t="s">
        <v>1404</v>
      </c>
      <c r="C122" s="196" t="s">
        <v>1720</v>
      </c>
      <c r="D122" s="196" t="s">
        <v>1546</v>
      </c>
      <c r="E122" s="196"/>
      <c r="F122" s="196"/>
      <c r="G122" s="196"/>
      <c r="H122" s="196"/>
      <c r="I122" s="411"/>
      <c r="J122" s="196"/>
      <c r="K122" s="196" t="s">
        <v>1246</v>
      </c>
      <c r="L122" s="196"/>
      <c r="M122" s="196"/>
      <c r="N122" s="196"/>
      <c r="O122" s="196"/>
      <c r="P122" s="401"/>
      <c r="Q122" s="192">
        <v>0</v>
      </c>
      <c r="R122" s="192">
        <v>0</v>
      </c>
      <c r="S122" s="196"/>
      <c r="T122" s="192">
        <v>0</v>
      </c>
      <c r="U122" s="196"/>
      <c r="V122" s="192">
        <v>0</v>
      </c>
      <c r="W122" s="192">
        <v>0</v>
      </c>
      <c r="X122" s="192">
        <v>0</v>
      </c>
      <c r="Y122" s="422" t="s">
        <v>761</v>
      </c>
      <c r="Z122" s="422" t="s">
        <v>761</v>
      </c>
      <c r="AA122" s="422" t="s">
        <v>761</v>
      </c>
      <c r="AB122" s="196" t="s">
        <v>24</v>
      </c>
      <c r="AC122" s="196"/>
      <c r="AD122" s="404"/>
    </row>
    <row r="123" spans="1:47" s="261" customFormat="1" ht="25.95" customHeight="1" x14ac:dyDescent="0.3">
      <c r="A123" s="202" t="s">
        <v>1362</v>
      </c>
      <c r="B123" s="202" t="s">
        <v>1600</v>
      </c>
      <c r="C123" s="196" t="s">
        <v>1649</v>
      </c>
      <c r="D123" s="196" t="s">
        <v>1546</v>
      </c>
      <c r="E123" s="196"/>
      <c r="F123" s="196"/>
      <c r="G123" s="433"/>
      <c r="H123" s="202"/>
      <c r="I123" s="432"/>
      <c r="J123" s="202"/>
      <c r="K123" s="202" t="s">
        <v>1246</v>
      </c>
      <c r="L123" s="202" t="s">
        <v>145</v>
      </c>
      <c r="M123" s="196"/>
      <c r="N123" s="196"/>
      <c r="O123" s="196"/>
      <c r="P123" s="433" t="s">
        <v>142</v>
      </c>
      <c r="Q123" s="434">
        <v>0</v>
      </c>
      <c r="R123" s="434">
        <v>0</v>
      </c>
      <c r="S123" s="202" t="s">
        <v>26</v>
      </c>
      <c r="T123" s="434">
        <v>0</v>
      </c>
      <c r="U123" s="202"/>
      <c r="V123" s="434">
        <v>0</v>
      </c>
      <c r="W123" s="434">
        <f t="shared" ref="W123" si="22">R123*0.16</f>
        <v>0</v>
      </c>
      <c r="X123" s="434">
        <f t="shared" ref="X123" si="23">R123+W123</f>
        <v>0</v>
      </c>
      <c r="Y123" s="202" t="s">
        <v>340</v>
      </c>
      <c r="Z123" s="202" t="s">
        <v>340</v>
      </c>
      <c r="AA123" s="202" t="s">
        <v>340</v>
      </c>
      <c r="AB123" s="202" t="s">
        <v>155</v>
      </c>
      <c r="AC123" s="202"/>
      <c r="AD123" s="202"/>
    </row>
    <row r="124" spans="1:47" ht="25.95" customHeight="1" x14ac:dyDescent="0.3">
      <c r="A124" s="196" t="s">
        <v>1455</v>
      </c>
      <c r="B124" s="196" t="s">
        <v>1832</v>
      </c>
      <c r="C124" s="196" t="s">
        <v>1833</v>
      </c>
      <c r="D124" s="196" t="s">
        <v>1546</v>
      </c>
      <c r="E124" s="196"/>
      <c r="F124" s="196"/>
      <c r="G124" s="196"/>
      <c r="H124" s="196"/>
      <c r="I124" s="411"/>
      <c r="J124" s="196"/>
      <c r="K124" s="196" t="s">
        <v>1246</v>
      </c>
      <c r="L124" s="196" t="s">
        <v>57</v>
      </c>
      <c r="M124" s="196" t="s">
        <v>1271</v>
      </c>
      <c r="N124" s="196" t="s">
        <v>1249</v>
      </c>
      <c r="O124" s="196" t="s">
        <v>1325</v>
      </c>
      <c r="P124" s="401" t="s">
        <v>47</v>
      </c>
      <c r="Q124" s="192">
        <v>0</v>
      </c>
      <c r="R124" s="192">
        <v>0</v>
      </c>
      <c r="S124" s="410" t="s">
        <v>1273</v>
      </c>
      <c r="T124" s="192">
        <v>0</v>
      </c>
      <c r="U124" s="197" t="s">
        <v>340</v>
      </c>
      <c r="V124" s="192">
        <v>0</v>
      </c>
      <c r="W124" s="192">
        <v>0</v>
      </c>
      <c r="X124" s="192">
        <v>0</v>
      </c>
      <c r="Y124" s="422" t="s">
        <v>761</v>
      </c>
      <c r="Z124" s="422" t="s">
        <v>761</v>
      </c>
      <c r="AA124" s="422" t="s">
        <v>761</v>
      </c>
      <c r="AB124" s="196" t="s">
        <v>1274</v>
      </c>
      <c r="AC124" s="196"/>
      <c r="AD124" s="402"/>
    </row>
    <row r="125" spans="1:47" ht="25.95" customHeight="1" x14ac:dyDescent="0.3">
      <c r="A125" s="196" t="s">
        <v>1455</v>
      </c>
      <c r="B125" s="196" t="s">
        <v>1831</v>
      </c>
      <c r="C125" s="196" t="s">
        <v>1833</v>
      </c>
      <c r="D125" s="196" t="s">
        <v>1546</v>
      </c>
      <c r="E125" s="196"/>
      <c r="F125" s="196"/>
      <c r="G125" s="196"/>
      <c r="H125" s="196"/>
      <c r="I125" s="411"/>
      <c r="J125" s="196"/>
      <c r="K125" s="196" t="s">
        <v>1246</v>
      </c>
      <c r="L125" s="196" t="s">
        <v>57</v>
      </c>
      <c r="M125" s="196" t="s">
        <v>1271</v>
      </c>
      <c r="N125" s="196" t="s">
        <v>1249</v>
      </c>
      <c r="O125" s="196" t="s">
        <v>1325</v>
      </c>
      <c r="P125" s="401" t="s">
        <v>47</v>
      </c>
      <c r="Q125" s="192">
        <v>0</v>
      </c>
      <c r="R125" s="192">
        <v>0</v>
      </c>
      <c r="S125" s="410" t="s">
        <v>1273</v>
      </c>
      <c r="T125" s="192">
        <v>0</v>
      </c>
      <c r="U125" s="197" t="s">
        <v>340</v>
      </c>
      <c r="V125" s="192">
        <v>0</v>
      </c>
      <c r="W125" s="192">
        <v>0</v>
      </c>
      <c r="X125" s="192">
        <v>0</v>
      </c>
      <c r="Y125" s="422" t="s">
        <v>761</v>
      </c>
      <c r="Z125" s="422" t="s">
        <v>761</v>
      </c>
      <c r="AA125" s="422" t="s">
        <v>761</v>
      </c>
      <c r="AB125" s="196" t="s">
        <v>1274</v>
      </c>
      <c r="AC125" s="196"/>
      <c r="AD125" s="196"/>
    </row>
    <row r="126" spans="1:47" ht="25.95" customHeight="1" x14ac:dyDescent="0.3">
      <c r="A126" s="196" t="s">
        <v>1477</v>
      </c>
      <c r="B126" s="196" t="s">
        <v>1478</v>
      </c>
      <c r="C126" s="196" t="s">
        <v>1755</v>
      </c>
      <c r="D126" s="196" t="s">
        <v>1609</v>
      </c>
      <c r="E126" s="196" t="s">
        <v>1250</v>
      </c>
      <c r="F126" s="196" t="s">
        <v>1250</v>
      </c>
      <c r="G126" s="196" t="s">
        <v>1250</v>
      </c>
      <c r="H126" s="196" t="s">
        <v>1250</v>
      </c>
      <c r="I126" s="411" t="s">
        <v>1250</v>
      </c>
      <c r="J126" s="196" t="s">
        <v>1250</v>
      </c>
      <c r="K126" s="196" t="s">
        <v>1246</v>
      </c>
      <c r="L126" s="196"/>
      <c r="M126" s="196"/>
      <c r="N126" s="196"/>
      <c r="O126" s="196"/>
      <c r="P126" s="401"/>
      <c r="Q126" s="192">
        <v>0</v>
      </c>
      <c r="R126" s="192">
        <v>0</v>
      </c>
      <c r="S126" s="196"/>
      <c r="T126" s="192">
        <v>0</v>
      </c>
      <c r="U126" s="196"/>
      <c r="V126" s="192">
        <v>0</v>
      </c>
      <c r="W126" s="192">
        <v>0</v>
      </c>
      <c r="X126" s="192">
        <v>0</v>
      </c>
      <c r="Y126" s="422" t="s">
        <v>761</v>
      </c>
      <c r="Z126" s="422" t="s">
        <v>761</v>
      </c>
      <c r="AA126" s="422" t="s">
        <v>761</v>
      </c>
      <c r="AB126" s="196"/>
      <c r="AC126" s="196"/>
      <c r="AD126" s="404"/>
    </row>
    <row r="127" spans="1:47" s="469" customFormat="1" ht="18.600000000000001" customHeight="1" x14ac:dyDescent="0.3">
      <c r="A127" s="466" t="s">
        <v>1344</v>
      </c>
      <c r="B127" s="467" t="s">
        <v>1499</v>
      </c>
      <c r="C127" s="196" t="s">
        <v>1941</v>
      </c>
      <c r="D127" s="196" t="s">
        <v>1546</v>
      </c>
      <c r="E127" s="196" t="s">
        <v>1250</v>
      </c>
      <c r="F127" s="196" t="s">
        <v>1250</v>
      </c>
      <c r="G127" s="401" t="s">
        <v>1830</v>
      </c>
      <c r="H127" s="196" t="s">
        <v>2044</v>
      </c>
      <c r="I127" s="411">
        <v>45947</v>
      </c>
      <c r="J127" s="196" t="s">
        <v>209</v>
      </c>
      <c r="K127" s="196" t="s">
        <v>1246</v>
      </c>
      <c r="L127" s="401" t="s">
        <v>71</v>
      </c>
      <c r="M127" s="196" t="s">
        <v>1248</v>
      </c>
      <c r="N127" s="196" t="s">
        <v>1249</v>
      </c>
      <c r="O127" s="196" t="s">
        <v>1250</v>
      </c>
      <c r="P127" s="401" t="s">
        <v>315</v>
      </c>
      <c r="Q127" s="409">
        <v>128571.4</v>
      </c>
      <c r="R127" s="409">
        <f>Q127*0.15</f>
        <v>19285.71</v>
      </c>
      <c r="S127" s="410" t="s">
        <v>72</v>
      </c>
      <c r="T127" s="409">
        <f>R127*0.6</f>
        <v>11571.425999999999</v>
      </c>
      <c r="U127" s="407" t="s">
        <v>340</v>
      </c>
      <c r="V127" s="409">
        <f>R127*0.4</f>
        <v>7714.2839999999997</v>
      </c>
      <c r="W127" s="192">
        <f t="shared" ref="W127" si="24">R127*0.16</f>
        <v>3085.7136</v>
      </c>
      <c r="X127" s="192">
        <f>R127+W127</f>
        <v>22371.423599999998</v>
      </c>
      <c r="Y127" s="196" t="s">
        <v>340</v>
      </c>
      <c r="Z127" s="196" t="s">
        <v>340</v>
      </c>
      <c r="AA127" s="196" t="s">
        <v>340</v>
      </c>
      <c r="AB127" s="468" t="s">
        <v>46</v>
      </c>
      <c r="AC127" s="466"/>
      <c r="AD127" s="466"/>
      <c r="AE127" s="176"/>
      <c r="AF127" s="176"/>
      <c r="AG127" s="176"/>
      <c r="AH127" s="176"/>
      <c r="AI127" s="176"/>
      <c r="AJ127" s="176"/>
      <c r="AK127" s="176"/>
      <c r="AL127" s="176"/>
      <c r="AM127" s="176"/>
      <c r="AN127" s="176"/>
      <c r="AO127" s="176"/>
      <c r="AP127" s="176"/>
      <c r="AQ127" s="176"/>
      <c r="AR127" s="176"/>
      <c r="AS127" s="176"/>
      <c r="AT127" s="176"/>
      <c r="AU127" s="176"/>
    </row>
    <row r="128" spans="1:47" ht="21" customHeight="1" x14ac:dyDescent="0.3">
      <c r="A128" s="196" t="s">
        <v>1512</v>
      </c>
      <c r="B128" s="196" t="s">
        <v>1513</v>
      </c>
      <c r="C128" s="196" t="s">
        <v>1829</v>
      </c>
      <c r="D128" s="196" t="s">
        <v>1546</v>
      </c>
      <c r="E128" s="196"/>
      <c r="F128" s="196"/>
      <c r="G128" s="196"/>
      <c r="H128" s="196"/>
      <c r="I128" s="411"/>
      <c r="J128" s="196"/>
      <c r="K128" s="196" t="s">
        <v>1246</v>
      </c>
      <c r="L128" s="401"/>
      <c r="M128" s="196"/>
      <c r="N128" s="196"/>
      <c r="O128" s="196"/>
      <c r="P128" s="401"/>
      <c r="Q128" s="192">
        <v>0</v>
      </c>
      <c r="R128" s="192">
        <v>0</v>
      </c>
      <c r="S128" s="196"/>
      <c r="T128" s="192">
        <v>0</v>
      </c>
      <c r="U128" s="196"/>
      <c r="V128" s="192">
        <v>0</v>
      </c>
      <c r="W128" s="192">
        <v>0</v>
      </c>
      <c r="X128" s="192">
        <v>0</v>
      </c>
      <c r="Y128" s="422" t="s">
        <v>761</v>
      </c>
      <c r="Z128" s="422" t="s">
        <v>761</v>
      </c>
      <c r="AA128" s="422" t="s">
        <v>761</v>
      </c>
      <c r="AB128" s="196"/>
      <c r="AC128" s="196"/>
      <c r="AD128" s="404"/>
    </row>
    <row r="129" spans="1:30" ht="25.95" customHeight="1" x14ac:dyDescent="0.3">
      <c r="A129" s="196" t="s">
        <v>999</v>
      </c>
      <c r="B129" s="196" t="s">
        <v>1765</v>
      </c>
      <c r="C129" s="196" t="s">
        <v>1766</v>
      </c>
      <c r="D129" s="196" t="s">
        <v>1546</v>
      </c>
      <c r="E129" s="196" t="s">
        <v>1250</v>
      </c>
      <c r="F129" s="196" t="s">
        <v>1250</v>
      </c>
      <c r="G129" s="401" t="s">
        <v>2043</v>
      </c>
      <c r="H129" s="196" t="s">
        <v>2042</v>
      </c>
      <c r="I129" s="411">
        <v>45947</v>
      </c>
      <c r="J129" s="196" t="s">
        <v>209</v>
      </c>
      <c r="K129" s="196" t="s">
        <v>1246</v>
      </c>
      <c r="L129" s="401" t="s">
        <v>71</v>
      </c>
      <c r="M129" s="196" t="s">
        <v>1248</v>
      </c>
      <c r="N129" s="196" t="s">
        <v>1249</v>
      </c>
      <c r="O129" s="196" t="s">
        <v>1250</v>
      </c>
      <c r="P129" s="401" t="s">
        <v>315</v>
      </c>
      <c r="Q129" s="192">
        <v>228571.4</v>
      </c>
      <c r="R129" s="192">
        <f>Q129*0.15</f>
        <v>34285.71</v>
      </c>
      <c r="S129" s="410" t="s">
        <v>26</v>
      </c>
      <c r="T129" s="192">
        <v>0</v>
      </c>
      <c r="U129" s="407"/>
      <c r="V129" s="192">
        <f>R129</f>
        <v>34285.71</v>
      </c>
      <c r="W129" s="192">
        <f t="shared" ref="W129" si="25">R129*0.16</f>
        <v>5485.7136</v>
      </c>
      <c r="X129" s="192">
        <f t="shared" ref="X129" si="26">R129+W129</f>
        <v>39771.423600000002</v>
      </c>
      <c r="Y129" s="196" t="s">
        <v>340</v>
      </c>
      <c r="Z129" s="196" t="s">
        <v>340</v>
      </c>
      <c r="AA129" s="196" t="s">
        <v>340</v>
      </c>
      <c r="AB129" s="421" t="s">
        <v>24</v>
      </c>
      <c r="AC129" s="196"/>
      <c r="AD129" s="196"/>
    </row>
    <row r="130" spans="1:30" ht="25.95" hidden="1" customHeight="1" x14ac:dyDescent="0.3">
      <c r="A130" s="196" t="s">
        <v>1536</v>
      </c>
      <c r="B130" s="196" t="s">
        <v>1517</v>
      </c>
      <c r="C130" s="413" t="s">
        <v>1760</v>
      </c>
      <c r="D130" s="196" t="s">
        <v>1546</v>
      </c>
      <c r="E130" s="414" t="s">
        <v>1942</v>
      </c>
      <c r="F130" s="413" t="s">
        <v>1304</v>
      </c>
      <c r="G130" s="414" t="s">
        <v>1709</v>
      </c>
      <c r="H130" s="414" t="s">
        <v>1710</v>
      </c>
      <c r="I130" s="411">
        <v>45880</v>
      </c>
      <c r="J130" s="196" t="s">
        <v>73</v>
      </c>
      <c r="K130" s="196" t="s">
        <v>1246</v>
      </c>
      <c r="L130" s="196" t="s">
        <v>57</v>
      </c>
      <c r="M130" s="196" t="s">
        <v>417</v>
      </c>
      <c r="N130" s="196" t="s">
        <v>1249</v>
      </c>
      <c r="O130" s="196" t="s">
        <v>1325</v>
      </c>
      <c r="P130" s="401" t="s">
        <v>47</v>
      </c>
      <c r="Q130" s="192">
        <v>322269.59000000003</v>
      </c>
      <c r="R130" s="192">
        <f>Q130*0.2</f>
        <v>64453.918000000005</v>
      </c>
      <c r="S130" s="410" t="s">
        <v>1273</v>
      </c>
      <c r="T130" s="192">
        <f>R130*0.5</f>
        <v>32226.959000000003</v>
      </c>
      <c r="U130" s="196" t="s">
        <v>340</v>
      </c>
      <c r="V130" s="192">
        <f>R130*0.5</f>
        <v>32226.959000000003</v>
      </c>
      <c r="W130" s="192">
        <f>R130*0.16</f>
        <v>10312.626880000002</v>
      </c>
      <c r="X130" s="192">
        <f>R130+W130</f>
        <v>74766.544880000001</v>
      </c>
      <c r="Y130" s="411" t="s">
        <v>27</v>
      </c>
      <c r="Z130" s="411" t="s">
        <v>1963</v>
      </c>
      <c r="AA130" s="411" t="s">
        <v>27</v>
      </c>
      <c r="AB130" s="196" t="s">
        <v>1506</v>
      </c>
      <c r="AC130" s="196" t="s">
        <v>73</v>
      </c>
      <c r="AD130" s="402" t="s">
        <v>1815</v>
      </c>
    </row>
    <row r="131" spans="1:30" ht="25.95" hidden="1" customHeight="1" x14ac:dyDescent="0.3">
      <c r="A131" s="196" t="s">
        <v>1536</v>
      </c>
      <c r="B131" s="196" t="s">
        <v>1517</v>
      </c>
      <c r="C131" s="413" t="s">
        <v>1619</v>
      </c>
      <c r="D131" s="196" t="s">
        <v>1547</v>
      </c>
      <c r="E131" s="414" t="s">
        <v>1943</v>
      </c>
      <c r="F131" s="413" t="s">
        <v>1823</v>
      </c>
      <c r="G131" s="414" t="s">
        <v>1622</v>
      </c>
      <c r="H131" s="414" t="s">
        <v>1621</v>
      </c>
      <c r="I131" s="411">
        <v>45876</v>
      </c>
      <c r="J131" s="196" t="s">
        <v>73</v>
      </c>
      <c r="K131" s="196" t="s">
        <v>1246</v>
      </c>
      <c r="L131" s="401" t="s">
        <v>1408</v>
      </c>
      <c r="M131" s="196" t="s">
        <v>417</v>
      </c>
      <c r="N131" s="196" t="s">
        <v>1249</v>
      </c>
      <c r="O131" s="196" t="s">
        <v>1250</v>
      </c>
      <c r="P131" s="401" t="s">
        <v>47</v>
      </c>
      <c r="Q131" s="192">
        <v>173783.34</v>
      </c>
      <c r="R131" s="192">
        <f>Q131*0.12</f>
        <v>20854.000799999998</v>
      </c>
      <c r="S131" s="192" t="s">
        <v>26</v>
      </c>
      <c r="T131" s="192">
        <v>0</v>
      </c>
      <c r="U131" s="196"/>
      <c r="V131" s="192">
        <f>R131</f>
        <v>20854.000799999998</v>
      </c>
      <c r="W131" s="192">
        <f>R131*0.16</f>
        <v>3336.6401279999995</v>
      </c>
      <c r="X131" s="192">
        <f>R131+W131</f>
        <v>24190.640927999997</v>
      </c>
      <c r="Y131" s="398" t="s">
        <v>27</v>
      </c>
      <c r="Z131" s="398" t="s">
        <v>1963</v>
      </c>
      <c r="AA131" s="398" t="s">
        <v>27</v>
      </c>
      <c r="AB131" s="196" t="s">
        <v>1505</v>
      </c>
      <c r="AC131" s="196" t="s">
        <v>73</v>
      </c>
      <c r="AD131" s="196" t="s">
        <v>1815</v>
      </c>
    </row>
    <row r="132" spans="1:30" ht="25.95" customHeight="1" x14ac:dyDescent="0.3">
      <c r="A132" s="196" t="s">
        <v>1591</v>
      </c>
      <c r="B132" s="196" t="s">
        <v>1530</v>
      </c>
      <c r="C132" s="196" t="s">
        <v>1737</v>
      </c>
      <c r="D132" s="196" t="s">
        <v>1546</v>
      </c>
      <c r="E132" s="196"/>
      <c r="F132" s="196"/>
      <c r="G132" s="196"/>
      <c r="H132" s="196"/>
      <c r="I132" s="411"/>
      <c r="J132" s="196"/>
      <c r="K132" s="196" t="s">
        <v>1246</v>
      </c>
      <c r="L132" s="401"/>
      <c r="M132" s="196"/>
      <c r="N132" s="196"/>
      <c r="O132" s="196"/>
      <c r="P132" s="401"/>
      <c r="Q132" s="192">
        <v>0</v>
      </c>
      <c r="R132" s="192">
        <v>0</v>
      </c>
      <c r="S132" s="196"/>
      <c r="T132" s="192">
        <v>0</v>
      </c>
      <c r="U132" s="196"/>
      <c r="V132" s="192">
        <v>0</v>
      </c>
      <c r="W132" s="192">
        <v>0</v>
      </c>
      <c r="X132" s="192">
        <v>0</v>
      </c>
      <c r="Y132" s="422" t="s">
        <v>761</v>
      </c>
      <c r="Z132" s="422" t="s">
        <v>761</v>
      </c>
      <c r="AA132" s="422" t="s">
        <v>761</v>
      </c>
      <c r="AB132" s="196"/>
      <c r="AC132" s="196"/>
      <c r="AD132" s="196"/>
    </row>
    <row r="133" spans="1:30" ht="25.95" customHeight="1" x14ac:dyDescent="0.3">
      <c r="A133" s="196" t="s">
        <v>1539</v>
      </c>
      <c r="B133" s="196" t="s">
        <v>1538</v>
      </c>
      <c r="C133" s="196" t="s">
        <v>1516</v>
      </c>
      <c r="D133" s="196" t="s">
        <v>1547</v>
      </c>
      <c r="E133" s="196" t="s">
        <v>1250</v>
      </c>
      <c r="F133" s="196" t="s">
        <v>1250</v>
      </c>
      <c r="G133" s="196" t="s">
        <v>1250</v>
      </c>
      <c r="H133" s="196" t="s">
        <v>1250</v>
      </c>
      <c r="I133" s="411" t="s">
        <v>1250</v>
      </c>
      <c r="J133" s="196" t="s">
        <v>1250</v>
      </c>
      <c r="K133" s="196" t="s">
        <v>1246</v>
      </c>
      <c r="L133" s="401"/>
      <c r="M133" s="196"/>
      <c r="N133" s="196"/>
      <c r="O133" s="196"/>
      <c r="P133" s="401"/>
      <c r="Q133" s="192">
        <v>0</v>
      </c>
      <c r="R133" s="192">
        <v>0</v>
      </c>
      <c r="S133" s="196"/>
      <c r="T133" s="192">
        <v>0</v>
      </c>
      <c r="U133" s="196"/>
      <c r="V133" s="192">
        <v>0</v>
      </c>
      <c r="W133" s="192">
        <v>0</v>
      </c>
      <c r="X133" s="192">
        <v>0</v>
      </c>
      <c r="Y133" s="422" t="s">
        <v>761</v>
      </c>
      <c r="Z133" s="422" t="s">
        <v>761</v>
      </c>
      <c r="AA133" s="422" t="s">
        <v>761</v>
      </c>
      <c r="AB133" s="196"/>
      <c r="AC133" s="196"/>
      <c r="AD133" s="404"/>
    </row>
    <row r="134" spans="1:30" s="261" customFormat="1" ht="25.95" hidden="1" customHeight="1" x14ac:dyDescent="0.3">
      <c r="A134" s="202" t="s">
        <v>1321</v>
      </c>
      <c r="B134" s="202" t="s">
        <v>1590</v>
      </c>
      <c r="C134" s="196" t="s">
        <v>1771</v>
      </c>
      <c r="D134" s="196" t="s">
        <v>1546</v>
      </c>
      <c r="E134" s="196" t="s">
        <v>1250</v>
      </c>
      <c r="F134" s="196" t="s">
        <v>1250</v>
      </c>
      <c r="G134" s="433" t="s">
        <v>2026</v>
      </c>
      <c r="H134" s="202" t="s">
        <v>2027</v>
      </c>
      <c r="I134" s="432">
        <v>45888</v>
      </c>
      <c r="J134" s="202" t="s">
        <v>170</v>
      </c>
      <c r="K134" s="202" t="s">
        <v>1246</v>
      </c>
      <c r="L134" s="433" t="s">
        <v>57</v>
      </c>
      <c r="M134" s="196" t="s">
        <v>1248</v>
      </c>
      <c r="N134" s="196" t="s">
        <v>1249</v>
      </c>
      <c r="O134" s="196" t="s">
        <v>1325</v>
      </c>
      <c r="P134" s="433" t="s">
        <v>25</v>
      </c>
      <c r="Q134" s="434">
        <v>260453.96</v>
      </c>
      <c r="R134" s="434">
        <f>Q134*0.15</f>
        <v>39068.093999999997</v>
      </c>
      <c r="S134" s="435" t="s">
        <v>1273</v>
      </c>
      <c r="T134" s="434">
        <f>R134*0.5</f>
        <v>19534.046999999999</v>
      </c>
      <c r="U134" s="202" t="s">
        <v>340</v>
      </c>
      <c r="V134" s="434">
        <f>R134*0.5</f>
        <v>19534.046999999999</v>
      </c>
      <c r="W134" s="434">
        <f>R134*0.16</f>
        <v>6250.8950399999994</v>
      </c>
      <c r="X134" s="434">
        <f>R134+W134</f>
        <v>45318.98904</v>
      </c>
      <c r="Y134" s="432" t="s">
        <v>27</v>
      </c>
      <c r="Z134" s="202" t="s">
        <v>1964</v>
      </c>
      <c r="AA134" s="432" t="s">
        <v>27</v>
      </c>
      <c r="AB134" s="202" t="s">
        <v>1325</v>
      </c>
      <c r="AC134" s="202" t="s">
        <v>170</v>
      </c>
      <c r="AD134" s="202"/>
    </row>
    <row r="135" spans="1:30" ht="25.95" hidden="1" customHeight="1" x14ac:dyDescent="0.3">
      <c r="A135" s="196" t="s">
        <v>1646</v>
      </c>
      <c r="B135" s="196" t="s">
        <v>1593</v>
      </c>
      <c r="C135" s="413" t="s">
        <v>1663</v>
      </c>
      <c r="D135" s="196" t="s">
        <v>1693</v>
      </c>
      <c r="E135" s="414"/>
      <c r="F135" s="413" t="s">
        <v>1250</v>
      </c>
      <c r="G135" s="414" t="s">
        <v>2028</v>
      </c>
      <c r="H135" s="414" t="s">
        <v>1717</v>
      </c>
      <c r="I135" s="411">
        <v>45801</v>
      </c>
      <c r="J135" s="196" t="s">
        <v>84</v>
      </c>
      <c r="K135" s="196" t="s">
        <v>1246</v>
      </c>
      <c r="L135" s="401" t="s">
        <v>57</v>
      </c>
      <c r="M135" s="196" t="s">
        <v>1248</v>
      </c>
      <c r="N135" s="196" t="s">
        <v>1249</v>
      </c>
      <c r="O135" s="196" t="s">
        <v>46</v>
      </c>
      <c r="P135" s="401" t="s">
        <v>315</v>
      </c>
      <c r="Q135" s="192">
        <v>40108.160000000003</v>
      </c>
      <c r="R135" s="192">
        <f>Q135*0.15</f>
        <v>6016.2240000000002</v>
      </c>
      <c r="S135" s="192" t="s">
        <v>72</v>
      </c>
      <c r="T135" s="192">
        <f>R135*0.6</f>
        <v>3609.7343999999998</v>
      </c>
      <c r="U135" s="196"/>
      <c r="V135" s="192">
        <f>R135*0.4</f>
        <v>2406.4896000000003</v>
      </c>
      <c r="W135" s="192">
        <f>R135*0.16</f>
        <v>962.59584000000007</v>
      </c>
      <c r="X135" s="192">
        <f>R135+W135</f>
        <v>6978.8198400000001</v>
      </c>
      <c r="Y135" s="398" t="s">
        <v>27</v>
      </c>
      <c r="Z135" s="398" t="s">
        <v>1972</v>
      </c>
      <c r="AA135" s="398" t="s">
        <v>27</v>
      </c>
      <c r="AB135" s="196" t="s">
        <v>46</v>
      </c>
      <c r="AC135" s="196" t="s">
        <v>144</v>
      </c>
      <c r="AD135" s="402" t="s">
        <v>1802</v>
      </c>
    </row>
    <row r="136" spans="1:30" ht="25.95" hidden="1" customHeight="1" x14ac:dyDescent="0.3">
      <c r="A136" s="196" t="s">
        <v>1338</v>
      </c>
      <c r="B136" s="196" t="s">
        <v>1586</v>
      </c>
      <c r="C136" s="413" t="s">
        <v>1944</v>
      </c>
      <c r="D136" s="196" t="s">
        <v>1609</v>
      </c>
      <c r="E136" s="414" t="s">
        <v>1945</v>
      </c>
      <c r="F136" s="413" t="s">
        <v>1589</v>
      </c>
      <c r="G136" s="414" t="s">
        <v>1715</v>
      </c>
      <c r="H136" s="414" t="s">
        <v>1716</v>
      </c>
      <c r="I136" s="411">
        <v>45873</v>
      </c>
      <c r="J136" s="196" t="s">
        <v>73</v>
      </c>
      <c r="K136" s="196" t="s">
        <v>1246</v>
      </c>
      <c r="L136" s="401" t="s">
        <v>1213</v>
      </c>
      <c r="M136" s="196" t="s">
        <v>1248</v>
      </c>
      <c r="N136" s="196" t="s">
        <v>1249</v>
      </c>
      <c r="O136" s="196" t="s">
        <v>1250</v>
      </c>
      <c r="P136" s="401" t="s">
        <v>25</v>
      </c>
      <c r="Q136" s="192">
        <v>559807.66</v>
      </c>
      <c r="R136" s="192">
        <f>Q136*0.15</f>
        <v>83971.149000000005</v>
      </c>
      <c r="S136" s="192" t="s">
        <v>26</v>
      </c>
      <c r="T136" s="192">
        <v>0</v>
      </c>
      <c r="U136" s="196"/>
      <c r="V136" s="192">
        <f>R136</f>
        <v>83971.149000000005</v>
      </c>
      <c r="W136" s="192">
        <f>R136*0.16</f>
        <v>13435.38384</v>
      </c>
      <c r="X136" s="192">
        <f>R136+W136</f>
        <v>97406.53284</v>
      </c>
      <c r="Y136" s="398" t="s">
        <v>27</v>
      </c>
      <c r="Z136" s="398" t="s">
        <v>1970</v>
      </c>
      <c r="AA136" s="398" t="s">
        <v>27</v>
      </c>
      <c r="AB136" s="196" t="s">
        <v>155</v>
      </c>
      <c r="AC136" s="196" t="s">
        <v>73</v>
      </c>
      <c r="AD136" s="196" t="s">
        <v>1812</v>
      </c>
    </row>
    <row r="137" spans="1:30" ht="25.95" customHeight="1" x14ac:dyDescent="0.3">
      <c r="A137" s="196" t="s">
        <v>1527</v>
      </c>
      <c r="B137" s="196" t="s">
        <v>1592</v>
      </c>
      <c r="C137" s="196" t="s">
        <v>1762</v>
      </c>
      <c r="D137" s="196" t="s">
        <v>1546</v>
      </c>
      <c r="E137" s="196"/>
      <c r="F137" s="196"/>
      <c r="G137" s="196"/>
      <c r="H137" s="196"/>
      <c r="I137" s="411"/>
      <c r="J137" s="196"/>
      <c r="K137" s="196" t="s">
        <v>1246</v>
      </c>
      <c r="L137" s="401"/>
      <c r="M137" s="196"/>
      <c r="N137" s="196"/>
      <c r="O137" s="196"/>
      <c r="P137" s="401"/>
      <c r="Q137" s="192">
        <v>0</v>
      </c>
      <c r="R137" s="192">
        <v>0</v>
      </c>
      <c r="S137" s="196"/>
      <c r="T137" s="192">
        <v>0</v>
      </c>
      <c r="U137" s="196"/>
      <c r="V137" s="192">
        <v>0</v>
      </c>
      <c r="W137" s="192">
        <v>0</v>
      </c>
      <c r="X137" s="192">
        <v>0</v>
      </c>
      <c r="Y137" s="422" t="s">
        <v>761</v>
      </c>
      <c r="Z137" s="422" t="s">
        <v>761</v>
      </c>
      <c r="AA137" s="422" t="s">
        <v>761</v>
      </c>
      <c r="AB137" s="196"/>
      <c r="AC137" s="196"/>
      <c r="AD137" s="196"/>
    </row>
    <row r="138" spans="1:30" s="443" customFormat="1" ht="25.95" customHeight="1" x14ac:dyDescent="0.3">
      <c r="A138" s="397" t="s">
        <v>1227</v>
      </c>
      <c r="B138" s="397" t="s">
        <v>1548</v>
      </c>
      <c r="C138" s="196" t="s">
        <v>1843</v>
      </c>
      <c r="D138" s="196" t="s">
        <v>1546</v>
      </c>
      <c r="E138" s="196" t="s">
        <v>1250</v>
      </c>
      <c r="F138" s="196" t="s">
        <v>1250</v>
      </c>
      <c r="G138" s="397" t="s">
        <v>2011</v>
      </c>
      <c r="H138" s="397" t="s">
        <v>1564</v>
      </c>
      <c r="I138" s="440">
        <v>45863</v>
      </c>
      <c r="J138" s="397" t="s">
        <v>144</v>
      </c>
      <c r="K138" s="397" t="s">
        <v>1246</v>
      </c>
      <c r="L138" s="441" t="s">
        <v>57</v>
      </c>
      <c r="M138" s="196" t="s">
        <v>1248</v>
      </c>
      <c r="N138" s="196" t="s">
        <v>1249</v>
      </c>
      <c r="O138" s="196" t="s">
        <v>1250</v>
      </c>
      <c r="P138" s="441" t="s">
        <v>25</v>
      </c>
      <c r="Q138" s="442">
        <f>48517</f>
        <v>48517</v>
      </c>
      <c r="R138" s="442">
        <f>Q138*0.15</f>
        <v>7277.55</v>
      </c>
      <c r="S138" s="397" t="s">
        <v>26</v>
      </c>
      <c r="T138" s="442">
        <v>0</v>
      </c>
      <c r="U138" s="397"/>
      <c r="V138" s="442">
        <f>R138</f>
        <v>7277.55</v>
      </c>
      <c r="W138" s="442">
        <f t="shared" ref="W138" si="27">R138*0.16</f>
        <v>1164.4080000000001</v>
      </c>
      <c r="X138" s="442">
        <f t="shared" ref="X138" si="28">R138+W138</f>
        <v>8441.9580000000005</v>
      </c>
      <c r="Y138" s="397" t="s">
        <v>340</v>
      </c>
      <c r="Z138" s="397" t="s">
        <v>340</v>
      </c>
      <c r="AA138" s="440" t="s">
        <v>340</v>
      </c>
      <c r="AB138" s="397" t="s">
        <v>155</v>
      </c>
      <c r="AC138" s="397"/>
      <c r="AD138" s="397"/>
    </row>
    <row r="139" spans="1:30" ht="25.95" customHeight="1" x14ac:dyDescent="0.3">
      <c r="A139" s="196" t="s">
        <v>1594</v>
      </c>
      <c r="B139" s="196"/>
      <c r="C139" s="196" t="s">
        <v>1670</v>
      </c>
      <c r="D139" s="196" t="s">
        <v>1546</v>
      </c>
      <c r="E139" s="196"/>
      <c r="F139" s="196"/>
      <c r="G139" s="196"/>
      <c r="H139" s="196"/>
      <c r="I139" s="411"/>
      <c r="J139" s="196"/>
      <c r="K139" s="196" t="s">
        <v>1246</v>
      </c>
      <c r="L139" s="401"/>
      <c r="M139" s="196"/>
      <c r="N139" s="196"/>
      <c r="O139" s="196"/>
      <c r="P139" s="401"/>
      <c r="Q139" s="192">
        <v>0</v>
      </c>
      <c r="R139" s="192">
        <v>0</v>
      </c>
      <c r="S139" s="196"/>
      <c r="T139" s="192">
        <v>0</v>
      </c>
      <c r="U139" s="196"/>
      <c r="V139" s="192">
        <v>0</v>
      </c>
      <c r="W139" s="192">
        <v>0</v>
      </c>
      <c r="X139" s="192">
        <v>0</v>
      </c>
      <c r="Y139" s="422" t="s">
        <v>761</v>
      </c>
      <c r="Z139" s="422" t="s">
        <v>761</v>
      </c>
      <c r="AA139" s="422" t="s">
        <v>761</v>
      </c>
      <c r="AB139" s="196"/>
      <c r="AC139" s="196"/>
      <c r="AD139" s="404"/>
    </row>
    <row r="140" spans="1:30" s="261" customFormat="1" ht="25.95" customHeight="1" x14ac:dyDescent="0.3">
      <c r="A140" s="202" t="s">
        <v>1596</v>
      </c>
      <c r="B140" s="202" t="s">
        <v>71</v>
      </c>
      <c r="C140" s="196" t="s">
        <v>1946</v>
      </c>
      <c r="D140" s="196" t="s">
        <v>1609</v>
      </c>
      <c r="E140" s="196" t="s">
        <v>1250</v>
      </c>
      <c r="F140" s="196" t="s">
        <v>1250</v>
      </c>
      <c r="G140" s="433" t="s">
        <v>1631</v>
      </c>
      <c r="H140" s="202" t="s">
        <v>1632</v>
      </c>
      <c r="I140" s="432">
        <v>45581</v>
      </c>
      <c r="J140" s="202" t="s">
        <v>209</v>
      </c>
      <c r="K140" s="202" t="s">
        <v>1246</v>
      </c>
      <c r="L140" s="433"/>
      <c r="M140" s="196"/>
      <c r="N140" s="196"/>
      <c r="O140" s="196"/>
      <c r="P140" s="433"/>
      <c r="Q140" s="434">
        <v>0</v>
      </c>
      <c r="R140" s="434">
        <v>0</v>
      </c>
      <c r="S140" s="202"/>
      <c r="T140" s="202"/>
      <c r="U140" s="202"/>
      <c r="V140" s="434">
        <v>0</v>
      </c>
      <c r="W140" s="434">
        <f>V140*0.16</f>
        <v>0</v>
      </c>
      <c r="X140" s="434">
        <f>V140+W140</f>
        <v>0</v>
      </c>
      <c r="Y140" s="202" t="s">
        <v>1844</v>
      </c>
      <c r="Z140" s="202" t="s">
        <v>1844</v>
      </c>
      <c r="AA140" s="202" t="s">
        <v>1844</v>
      </c>
      <c r="AB140" s="202"/>
      <c r="AC140" s="202"/>
      <c r="AD140" s="202"/>
    </row>
    <row r="141" spans="1:30" ht="25.95" hidden="1" customHeight="1" x14ac:dyDescent="0.3">
      <c r="A141" s="196" t="s">
        <v>1002</v>
      </c>
      <c r="B141" s="196" t="s">
        <v>1595</v>
      </c>
      <c r="C141" s="413" t="s">
        <v>1947</v>
      </c>
      <c r="D141" s="196" t="s">
        <v>1609</v>
      </c>
      <c r="E141" s="414" t="s">
        <v>1250</v>
      </c>
      <c r="F141" s="413" t="s">
        <v>1250</v>
      </c>
      <c r="G141" s="414" t="s">
        <v>1482</v>
      </c>
      <c r="H141" s="414" t="s">
        <v>1481</v>
      </c>
      <c r="I141" s="411">
        <v>46022</v>
      </c>
      <c r="J141" s="196" t="s">
        <v>223</v>
      </c>
      <c r="K141" s="196" t="s">
        <v>1246</v>
      </c>
      <c r="L141" s="401" t="s">
        <v>71</v>
      </c>
      <c r="M141" s="196" t="s">
        <v>1248</v>
      </c>
      <c r="N141" s="196" t="s">
        <v>1249</v>
      </c>
      <c r="O141" s="196" t="s">
        <v>1250</v>
      </c>
      <c r="P141" s="401" t="s">
        <v>25</v>
      </c>
      <c r="Q141" s="192">
        <v>65439.040000000001</v>
      </c>
      <c r="R141" s="192">
        <f>Q141*0.15</f>
        <v>9815.8559999999998</v>
      </c>
      <c r="S141" s="192" t="s">
        <v>26</v>
      </c>
      <c r="T141" s="192">
        <v>0</v>
      </c>
      <c r="U141" s="196"/>
      <c r="V141" s="192">
        <f>R141</f>
        <v>9815.8559999999998</v>
      </c>
      <c r="W141" s="192">
        <f>R141*0.16</f>
        <v>1570.5369599999999</v>
      </c>
      <c r="X141" s="192">
        <f>R141+W141</f>
        <v>11386.392959999999</v>
      </c>
      <c r="Y141" s="398" t="s">
        <v>27</v>
      </c>
      <c r="Z141" s="398" t="s">
        <v>27</v>
      </c>
      <c r="AA141" s="398" t="s">
        <v>27</v>
      </c>
      <c r="AB141" s="196" t="s">
        <v>24</v>
      </c>
      <c r="AC141" s="196" t="s">
        <v>54</v>
      </c>
      <c r="AD141" s="402"/>
    </row>
    <row r="142" spans="1:30" ht="25.95" hidden="1" customHeight="1" x14ac:dyDescent="0.3">
      <c r="A142" s="196" t="s">
        <v>1611</v>
      </c>
      <c r="B142" s="196" t="s">
        <v>1630</v>
      </c>
      <c r="C142" s="413" t="s">
        <v>1516</v>
      </c>
      <c r="D142" s="196" t="s">
        <v>1547</v>
      </c>
      <c r="E142" s="414" t="s">
        <v>1250</v>
      </c>
      <c r="F142" s="413" t="s">
        <v>1250</v>
      </c>
      <c r="G142" s="414" t="s">
        <v>1660</v>
      </c>
      <c r="H142" s="414" t="s">
        <v>1661</v>
      </c>
      <c r="I142" s="411">
        <v>45875</v>
      </c>
      <c r="J142" s="196" t="s">
        <v>73</v>
      </c>
      <c r="K142" s="196" t="s">
        <v>1246</v>
      </c>
      <c r="L142" s="401" t="s">
        <v>145</v>
      </c>
      <c r="M142" s="196" t="s">
        <v>1248</v>
      </c>
      <c r="N142" s="196" t="s">
        <v>1249</v>
      </c>
      <c r="O142" s="196" t="s">
        <v>46</v>
      </c>
      <c r="P142" s="401" t="s">
        <v>315</v>
      </c>
      <c r="Q142" s="192">
        <v>15134.51</v>
      </c>
      <c r="R142" s="192">
        <v>1513.44</v>
      </c>
      <c r="S142" s="192" t="s">
        <v>72</v>
      </c>
      <c r="T142" s="192">
        <f>R142</f>
        <v>1513.44</v>
      </c>
      <c r="U142" s="196"/>
      <c r="V142" s="192">
        <v>0</v>
      </c>
      <c r="W142" s="192">
        <f>T142*0.16</f>
        <v>242.15040000000002</v>
      </c>
      <c r="X142" s="192">
        <f>R142+W142</f>
        <v>1755.5904</v>
      </c>
      <c r="Y142" s="398" t="s">
        <v>27</v>
      </c>
      <c r="Z142" s="398" t="s">
        <v>1971</v>
      </c>
      <c r="AA142" s="398" t="s">
        <v>27</v>
      </c>
      <c r="AB142" s="196" t="s">
        <v>46</v>
      </c>
      <c r="AC142" s="196" t="s">
        <v>73</v>
      </c>
      <c r="AD142" s="196" t="s">
        <v>1805</v>
      </c>
    </row>
    <row r="143" spans="1:30" ht="25.95" customHeight="1" x14ac:dyDescent="0.3">
      <c r="A143" s="196" t="s">
        <v>1615</v>
      </c>
      <c r="B143" s="196" t="s">
        <v>1616</v>
      </c>
      <c r="C143" s="196" t="s">
        <v>1685</v>
      </c>
      <c r="D143" s="196" t="s">
        <v>1694</v>
      </c>
      <c r="E143" s="196"/>
      <c r="F143" s="196"/>
      <c r="G143" s="196"/>
      <c r="H143" s="196"/>
      <c r="I143" s="411"/>
      <c r="J143" s="196"/>
      <c r="K143" s="196" t="s">
        <v>1246</v>
      </c>
      <c r="L143" s="401"/>
      <c r="M143" s="196"/>
      <c r="N143" s="196"/>
      <c r="O143" s="196"/>
      <c r="P143" s="401"/>
      <c r="Q143" s="192">
        <v>0</v>
      </c>
      <c r="R143" s="192">
        <v>0</v>
      </c>
      <c r="S143" s="196"/>
      <c r="T143" s="192">
        <v>0</v>
      </c>
      <c r="U143" s="196"/>
      <c r="V143" s="192">
        <v>0</v>
      </c>
      <c r="W143" s="192">
        <v>0</v>
      </c>
      <c r="X143" s="192">
        <v>0</v>
      </c>
      <c r="Y143" s="422" t="s">
        <v>761</v>
      </c>
      <c r="Z143" s="422" t="s">
        <v>761</v>
      </c>
      <c r="AA143" s="422" t="s">
        <v>761</v>
      </c>
      <c r="AB143" s="196"/>
      <c r="AC143" s="196"/>
      <c r="AD143" s="196"/>
    </row>
    <row r="144" spans="1:30" ht="29.4" customHeight="1" x14ac:dyDescent="0.3">
      <c r="A144" s="196" t="s">
        <v>1617</v>
      </c>
      <c r="B144" s="196" t="s">
        <v>1618</v>
      </c>
      <c r="C144" s="196" t="s">
        <v>1948</v>
      </c>
      <c r="D144" s="196" t="s">
        <v>1546</v>
      </c>
      <c r="E144" s="196"/>
      <c r="F144" s="196"/>
      <c r="G144" s="196"/>
      <c r="H144" s="196"/>
      <c r="I144" s="411"/>
      <c r="J144" s="196"/>
      <c r="K144" s="196" t="s">
        <v>1246</v>
      </c>
      <c r="L144" s="401"/>
      <c r="M144" s="196"/>
      <c r="N144" s="196"/>
      <c r="O144" s="196"/>
      <c r="P144" s="401"/>
      <c r="Q144" s="192">
        <v>0</v>
      </c>
      <c r="R144" s="192">
        <v>0</v>
      </c>
      <c r="S144" s="196"/>
      <c r="T144" s="192">
        <v>0</v>
      </c>
      <c r="U144" s="196"/>
      <c r="V144" s="192">
        <v>0</v>
      </c>
      <c r="W144" s="192">
        <v>0</v>
      </c>
      <c r="X144" s="192">
        <v>0</v>
      </c>
      <c r="Y144" s="422" t="s">
        <v>761</v>
      </c>
      <c r="Z144" s="422" t="s">
        <v>761</v>
      </c>
      <c r="AA144" s="422" t="s">
        <v>761</v>
      </c>
      <c r="AB144" s="196"/>
      <c r="AC144" s="196"/>
      <c r="AD144" s="404"/>
    </row>
    <row r="145" spans="1:30" s="443" customFormat="1" ht="25.95" customHeight="1" x14ac:dyDescent="0.3">
      <c r="A145" s="397" t="s">
        <v>107</v>
      </c>
      <c r="B145" s="397" t="s">
        <v>1626</v>
      </c>
      <c r="C145" s="196" t="s">
        <v>1763</v>
      </c>
      <c r="D145" s="196" t="s">
        <v>1546</v>
      </c>
      <c r="E145" s="196"/>
      <c r="F145" s="196"/>
      <c r="G145" s="441" t="s">
        <v>2045</v>
      </c>
      <c r="H145" s="397" t="s">
        <v>2046</v>
      </c>
      <c r="I145" s="440">
        <v>45931</v>
      </c>
      <c r="J145" s="397" t="s">
        <v>209</v>
      </c>
      <c r="K145" s="397" t="s">
        <v>1246</v>
      </c>
      <c r="L145" s="397" t="s">
        <v>57</v>
      </c>
      <c r="M145" s="401" t="s">
        <v>47</v>
      </c>
      <c r="N145" s="196"/>
      <c r="O145" s="196"/>
      <c r="P145" s="441" t="s">
        <v>47</v>
      </c>
      <c r="Q145" s="442">
        <v>1264545.8600000001</v>
      </c>
      <c r="R145" s="442">
        <f>Q145*0.2</f>
        <v>252909.17200000002</v>
      </c>
      <c r="S145" s="447" t="s">
        <v>1273</v>
      </c>
      <c r="T145" s="442">
        <f>R145*0.5</f>
        <v>126454.58600000001</v>
      </c>
      <c r="U145" s="397" t="s">
        <v>340</v>
      </c>
      <c r="V145" s="442">
        <f>R145*0.5</f>
        <v>126454.58600000001</v>
      </c>
      <c r="W145" s="442">
        <f t="shared" ref="W145:W148" si="29">R145*0.16</f>
        <v>40465.467520000006</v>
      </c>
      <c r="X145" s="442">
        <f t="shared" ref="X145:X148" si="30">R145+W145</f>
        <v>293374.63952000003</v>
      </c>
      <c r="Y145" s="397" t="s">
        <v>340</v>
      </c>
      <c r="Z145" s="397" t="s">
        <v>340</v>
      </c>
      <c r="AA145" s="397" t="s">
        <v>340</v>
      </c>
      <c r="AB145" s="397" t="s">
        <v>1506</v>
      </c>
      <c r="AC145" s="397"/>
      <c r="AD145" s="397"/>
    </row>
    <row r="146" spans="1:30" s="443" customFormat="1" ht="25.95" customHeight="1" x14ac:dyDescent="0.3">
      <c r="A146" s="397" t="s">
        <v>107</v>
      </c>
      <c r="B146" s="397" t="s">
        <v>1626</v>
      </c>
      <c r="C146" s="196" t="s">
        <v>1764</v>
      </c>
      <c r="D146" s="196" t="s">
        <v>1546</v>
      </c>
      <c r="E146" s="196"/>
      <c r="F146" s="196"/>
      <c r="G146" s="441" t="s">
        <v>2047</v>
      </c>
      <c r="H146" s="397" t="s">
        <v>2048</v>
      </c>
      <c r="I146" s="440">
        <v>45931</v>
      </c>
      <c r="J146" s="397" t="s">
        <v>209</v>
      </c>
      <c r="K146" s="397" t="s">
        <v>1246</v>
      </c>
      <c r="L146" s="441" t="s">
        <v>281</v>
      </c>
      <c r="M146" s="401" t="s">
        <v>47</v>
      </c>
      <c r="N146" s="196"/>
      <c r="O146" s="196"/>
      <c r="P146" s="441" t="s">
        <v>47</v>
      </c>
      <c r="Q146" s="442">
        <v>191762.02</v>
      </c>
      <c r="R146" s="442">
        <f>Q146*0.12</f>
        <v>23011.442399999996</v>
      </c>
      <c r="S146" s="447" t="s">
        <v>26</v>
      </c>
      <c r="T146" s="442">
        <v>0</v>
      </c>
      <c r="U146" s="397"/>
      <c r="V146" s="442">
        <f>R146</f>
        <v>23011.442399999996</v>
      </c>
      <c r="W146" s="442">
        <f t="shared" si="29"/>
        <v>3681.8307839999993</v>
      </c>
      <c r="X146" s="442">
        <f t="shared" si="30"/>
        <v>26693.273183999994</v>
      </c>
      <c r="Y146" s="397" t="s">
        <v>340</v>
      </c>
      <c r="Z146" s="397" t="s">
        <v>340</v>
      </c>
      <c r="AA146" s="397" t="s">
        <v>340</v>
      </c>
      <c r="AB146" s="397" t="s">
        <v>1505</v>
      </c>
      <c r="AC146" s="397"/>
      <c r="AD146" s="397"/>
    </row>
    <row r="147" spans="1:30" s="261" customFormat="1" ht="25.95" customHeight="1" x14ac:dyDescent="0.3">
      <c r="A147" s="202" t="s">
        <v>1961</v>
      </c>
      <c r="B147" s="202" t="s">
        <v>1625</v>
      </c>
      <c r="C147" s="196" t="s">
        <v>1949</v>
      </c>
      <c r="D147" s="196" t="s">
        <v>1546</v>
      </c>
      <c r="E147" s="196"/>
      <c r="F147" s="196"/>
      <c r="G147" s="433"/>
      <c r="H147" s="202"/>
      <c r="I147" s="432"/>
      <c r="J147" s="202" t="s">
        <v>209</v>
      </c>
      <c r="K147" s="202" t="s">
        <v>1246</v>
      </c>
      <c r="L147" s="202" t="s">
        <v>57</v>
      </c>
      <c r="M147" s="401" t="s">
        <v>47</v>
      </c>
      <c r="N147" s="196"/>
      <c r="O147" s="196"/>
      <c r="P147" s="433" t="s">
        <v>47</v>
      </c>
      <c r="Q147" s="434">
        <v>503975.71</v>
      </c>
      <c r="R147" s="434">
        <f>Q147*0.2</f>
        <v>100795.14200000001</v>
      </c>
      <c r="S147" s="435" t="s">
        <v>1273</v>
      </c>
      <c r="T147" s="434">
        <f>R147*0.5</f>
        <v>50397.571000000004</v>
      </c>
      <c r="U147" s="454" t="s">
        <v>340</v>
      </c>
      <c r="V147" s="434">
        <f>R147*0.5</f>
        <v>50397.571000000004</v>
      </c>
      <c r="W147" s="434">
        <f t="shared" si="29"/>
        <v>16127.222720000002</v>
      </c>
      <c r="X147" s="434">
        <f t="shared" si="30"/>
        <v>116922.36472000001</v>
      </c>
      <c r="Y147" s="454" t="s">
        <v>340</v>
      </c>
      <c r="Z147" s="454" t="s">
        <v>340</v>
      </c>
      <c r="AA147" s="454" t="s">
        <v>340</v>
      </c>
      <c r="AB147" s="202" t="s">
        <v>1506</v>
      </c>
      <c r="AC147" s="202"/>
      <c r="AD147" s="202"/>
    </row>
    <row r="148" spans="1:30" s="261" customFormat="1" ht="25.95" customHeight="1" x14ac:dyDescent="0.3">
      <c r="A148" s="202" t="s">
        <v>1961</v>
      </c>
      <c r="B148" s="202" t="s">
        <v>1625</v>
      </c>
      <c r="C148" s="196" t="s">
        <v>1949</v>
      </c>
      <c r="D148" s="196" t="s">
        <v>1546</v>
      </c>
      <c r="E148" s="196"/>
      <c r="F148" s="196"/>
      <c r="G148" s="433"/>
      <c r="H148" s="202"/>
      <c r="I148" s="432"/>
      <c r="J148" s="202" t="s">
        <v>209</v>
      </c>
      <c r="K148" s="202" t="s">
        <v>1246</v>
      </c>
      <c r="L148" s="433" t="s">
        <v>281</v>
      </c>
      <c r="M148" s="401" t="s">
        <v>47</v>
      </c>
      <c r="N148" s="196"/>
      <c r="O148" s="196"/>
      <c r="P148" s="433" t="s">
        <v>47</v>
      </c>
      <c r="Q148" s="434">
        <v>297123.3</v>
      </c>
      <c r="R148" s="434">
        <f>Q148*0.12</f>
        <v>35654.795999999995</v>
      </c>
      <c r="S148" s="435" t="s">
        <v>26</v>
      </c>
      <c r="T148" s="434">
        <v>0</v>
      </c>
      <c r="U148" s="454"/>
      <c r="V148" s="434">
        <f>R148</f>
        <v>35654.795999999995</v>
      </c>
      <c r="W148" s="434">
        <f t="shared" si="29"/>
        <v>5704.7673599999989</v>
      </c>
      <c r="X148" s="434">
        <f t="shared" si="30"/>
        <v>41359.563359999993</v>
      </c>
      <c r="Y148" s="454" t="s">
        <v>340</v>
      </c>
      <c r="Z148" s="454" t="s">
        <v>340</v>
      </c>
      <c r="AA148" s="454" t="s">
        <v>340</v>
      </c>
      <c r="AB148" s="202" t="s">
        <v>1505</v>
      </c>
      <c r="AC148" s="202"/>
      <c r="AD148" s="202"/>
    </row>
    <row r="149" spans="1:30" ht="25.95" hidden="1" customHeight="1" x14ac:dyDescent="0.3">
      <c r="A149" s="196" t="s">
        <v>1338</v>
      </c>
      <c r="B149" s="196" t="s">
        <v>1696</v>
      </c>
      <c r="C149" s="413" t="s">
        <v>1699</v>
      </c>
      <c r="D149" s="196" t="s">
        <v>1547</v>
      </c>
      <c r="E149" s="414" t="s">
        <v>1250</v>
      </c>
      <c r="F149" s="413" t="s">
        <v>1250</v>
      </c>
      <c r="G149" s="414" t="s">
        <v>1697</v>
      </c>
      <c r="H149" s="414" t="s">
        <v>1698</v>
      </c>
      <c r="I149" s="411">
        <v>45876</v>
      </c>
      <c r="J149" s="196" t="s">
        <v>73</v>
      </c>
      <c r="K149" s="196" t="s">
        <v>1246</v>
      </c>
      <c r="L149" s="401" t="s">
        <v>1213</v>
      </c>
      <c r="M149" s="196" t="s">
        <v>1248</v>
      </c>
      <c r="N149" s="196" t="s">
        <v>1249</v>
      </c>
      <c r="O149" s="196" t="s">
        <v>1250</v>
      </c>
      <c r="P149" s="401" t="s">
        <v>25</v>
      </c>
      <c r="Q149" s="192">
        <v>25657.4</v>
      </c>
      <c r="R149" s="192">
        <f>Q149*0.15</f>
        <v>3848.61</v>
      </c>
      <c r="S149" s="192" t="s">
        <v>26</v>
      </c>
      <c r="T149" s="192">
        <v>0</v>
      </c>
      <c r="U149" s="196"/>
      <c r="V149" s="192">
        <f>R149</f>
        <v>3848.61</v>
      </c>
      <c r="W149" s="192">
        <f>R149*0.16</f>
        <v>615.77760000000001</v>
      </c>
      <c r="X149" s="192">
        <f>R149+W149</f>
        <v>4464.3876</v>
      </c>
      <c r="Y149" s="398" t="s">
        <v>27</v>
      </c>
      <c r="Z149" s="398" t="s">
        <v>1970</v>
      </c>
      <c r="AA149" s="398" t="s">
        <v>27</v>
      </c>
      <c r="AB149" s="196" t="s">
        <v>24</v>
      </c>
      <c r="AC149" s="196" t="s">
        <v>73</v>
      </c>
      <c r="AD149" s="402" t="s">
        <v>1814</v>
      </c>
    </row>
    <row r="150" spans="1:30" ht="25.95" customHeight="1" x14ac:dyDescent="0.3">
      <c r="A150" s="196" t="s">
        <v>1338</v>
      </c>
      <c r="B150" s="196" t="s">
        <v>1628</v>
      </c>
      <c r="C150" s="196" t="s">
        <v>1950</v>
      </c>
      <c r="D150" s="196" t="s">
        <v>1547</v>
      </c>
      <c r="E150" s="196" t="s">
        <v>1250</v>
      </c>
      <c r="F150" s="196" t="s">
        <v>1250</v>
      </c>
      <c r="G150" s="196" t="s">
        <v>1627</v>
      </c>
      <c r="H150" s="196" t="s">
        <v>1951</v>
      </c>
      <c r="I150" s="411">
        <v>45750</v>
      </c>
      <c r="J150" s="196" t="s">
        <v>99</v>
      </c>
      <c r="K150" s="196" t="s">
        <v>1246</v>
      </c>
      <c r="L150" s="401"/>
      <c r="M150" s="196"/>
      <c r="N150" s="196"/>
      <c r="O150" s="196"/>
      <c r="P150" s="401"/>
      <c r="Q150" s="192">
        <v>0</v>
      </c>
      <c r="R150" s="192">
        <v>0</v>
      </c>
      <c r="S150" s="196"/>
      <c r="T150" s="192">
        <v>0</v>
      </c>
      <c r="U150" s="196"/>
      <c r="V150" s="192">
        <v>0</v>
      </c>
      <c r="W150" s="192">
        <v>0</v>
      </c>
      <c r="X150" s="192">
        <v>0</v>
      </c>
      <c r="Y150" s="422" t="s">
        <v>761</v>
      </c>
      <c r="Z150" s="422" t="s">
        <v>761</v>
      </c>
      <c r="AA150" s="422" t="s">
        <v>761</v>
      </c>
      <c r="AB150" s="196"/>
      <c r="AC150" s="196"/>
      <c r="AD150" s="196"/>
    </row>
    <row r="151" spans="1:30" ht="25.95" customHeight="1" x14ac:dyDescent="0.3">
      <c r="A151" s="196" t="s">
        <v>1634</v>
      </c>
      <c r="B151" s="196"/>
      <c r="C151" s="196" t="s">
        <v>1635</v>
      </c>
      <c r="D151" s="196" t="s">
        <v>1693</v>
      </c>
      <c r="E151" s="196"/>
      <c r="F151" s="196"/>
      <c r="G151" s="196"/>
      <c r="H151" s="196"/>
      <c r="I151" s="411"/>
      <c r="J151" s="196"/>
      <c r="K151" s="196" t="s">
        <v>1246</v>
      </c>
      <c r="L151" s="401"/>
      <c r="M151" s="196"/>
      <c r="N151" s="196"/>
      <c r="O151" s="196"/>
      <c r="P151" s="401"/>
      <c r="Q151" s="192">
        <v>0</v>
      </c>
      <c r="R151" s="192">
        <v>0</v>
      </c>
      <c r="S151" s="196"/>
      <c r="T151" s="192">
        <v>0</v>
      </c>
      <c r="U151" s="196"/>
      <c r="V151" s="192">
        <v>0</v>
      </c>
      <c r="W151" s="192">
        <v>0</v>
      </c>
      <c r="X151" s="192">
        <v>0</v>
      </c>
      <c r="Y151" s="422" t="s">
        <v>761</v>
      </c>
      <c r="Z151" s="422" t="s">
        <v>761</v>
      </c>
      <c r="AA151" s="422" t="s">
        <v>761</v>
      </c>
      <c r="AB151" s="196"/>
      <c r="AC151" s="196"/>
      <c r="AD151" s="196"/>
    </row>
    <row r="152" spans="1:30" ht="25.95" hidden="1" customHeight="1" x14ac:dyDescent="0.3">
      <c r="A152" s="196" t="s">
        <v>1267</v>
      </c>
      <c r="B152" s="196" t="s">
        <v>1636</v>
      </c>
      <c r="C152" s="413" t="s">
        <v>1637</v>
      </c>
      <c r="D152" s="196" t="s">
        <v>1547</v>
      </c>
      <c r="E152" s="414" t="s">
        <v>1250</v>
      </c>
      <c r="F152" s="413" t="s">
        <v>1250</v>
      </c>
      <c r="G152" s="439" t="s">
        <v>1638</v>
      </c>
      <c r="H152" s="439" t="s">
        <v>2033</v>
      </c>
      <c r="I152" s="191">
        <v>45867</v>
      </c>
      <c r="J152" s="196" t="s">
        <v>119</v>
      </c>
      <c r="K152" s="196" t="s">
        <v>1246</v>
      </c>
      <c r="L152" s="401" t="s">
        <v>57</v>
      </c>
      <c r="M152" s="196" t="s">
        <v>1639</v>
      </c>
      <c r="N152" s="196" t="s">
        <v>1249</v>
      </c>
      <c r="O152" s="196" t="s">
        <v>1325</v>
      </c>
      <c r="P152" s="401" t="s">
        <v>47</v>
      </c>
      <c r="Q152" s="192">
        <v>0</v>
      </c>
      <c r="R152" s="192">
        <v>0</v>
      </c>
      <c r="S152" s="410" t="s">
        <v>1273</v>
      </c>
      <c r="T152" s="192">
        <v>0</v>
      </c>
      <c r="U152" s="408" t="s">
        <v>340</v>
      </c>
      <c r="V152" s="192">
        <v>0</v>
      </c>
      <c r="W152" s="192">
        <v>0</v>
      </c>
      <c r="X152" s="192">
        <v>0</v>
      </c>
      <c r="Y152" s="422" t="s">
        <v>761</v>
      </c>
      <c r="Z152" s="423" t="s">
        <v>761</v>
      </c>
      <c r="AA152" s="422" t="s">
        <v>761</v>
      </c>
      <c r="AB152" s="196" t="s">
        <v>1640</v>
      </c>
      <c r="AC152" s="196" t="s">
        <v>144</v>
      </c>
      <c r="AD152" s="196"/>
    </row>
    <row r="153" spans="1:30" ht="25.95" customHeight="1" x14ac:dyDescent="0.3">
      <c r="A153" s="196" t="s">
        <v>1377</v>
      </c>
      <c r="B153" s="196" t="s">
        <v>1379</v>
      </c>
      <c r="C153" s="196" t="s">
        <v>1647</v>
      </c>
      <c r="D153" s="196" t="s">
        <v>1546</v>
      </c>
      <c r="E153" s="196" t="s">
        <v>1250</v>
      </c>
      <c r="F153" s="196" t="s">
        <v>1250</v>
      </c>
      <c r="G153" s="196" t="s">
        <v>1472</v>
      </c>
      <c r="H153" s="196" t="s">
        <v>1952</v>
      </c>
      <c r="I153" s="411">
        <v>45798</v>
      </c>
      <c r="J153" s="196" t="s">
        <v>84</v>
      </c>
      <c r="K153" s="196" t="s">
        <v>1246</v>
      </c>
      <c r="L153" s="401" t="s">
        <v>1380</v>
      </c>
      <c r="M153" s="196" t="s">
        <v>1248</v>
      </c>
      <c r="N153" s="196" t="s">
        <v>1249</v>
      </c>
      <c r="O153" s="196" t="s">
        <v>46</v>
      </c>
      <c r="P153" s="401" t="s">
        <v>315</v>
      </c>
      <c r="Q153" s="192">
        <v>0</v>
      </c>
      <c r="R153" s="192">
        <v>0</v>
      </c>
      <c r="S153" s="196" t="s">
        <v>72</v>
      </c>
      <c r="T153" s="192">
        <v>0</v>
      </c>
      <c r="U153" s="196"/>
      <c r="V153" s="192">
        <v>0</v>
      </c>
      <c r="W153" s="192">
        <v>0</v>
      </c>
      <c r="X153" s="192">
        <v>0</v>
      </c>
      <c r="Y153" s="422" t="s">
        <v>761</v>
      </c>
      <c r="Z153" s="422" t="s">
        <v>761</v>
      </c>
      <c r="AA153" s="422" t="s">
        <v>761</v>
      </c>
      <c r="AB153" s="196" t="s">
        <v>46</v>
      </c>
      <c r="AC153" s="196"/>
      <c r="AD153" s="196" t="s">
        <v>1801</v>
      </c>
    </row>
    <row r="154" spans="1:30" ht="25.95" customHeight="1" x14ac:dyDescent="0.3">
      <c r="A154" s="196" t="s">
        <v>1650</v>
      </c>
      <c r="B154" s="196" t="s">
        <v>1651</v>
      </c>
      <c r="C154" s="196" t="s">
        <v>1691</v>
      </c>
      <c r="D154" s="196" t="s">
        <v>1693</v>
      </c>
      <c r="E154" s="196"/>
      <c r="F154" s="196"/>
      <c r="G154" s="196"/>
      <c r="H154" s="196"/>
      <c r="I154" s="411"/>
      <c r="J154" s="196"/>
      <c r="K154" s="196" t="s">
        <v>1246</v>
      </c>
      <c r="L154" s="401"/>
      <c r="M154" s="196"/>
      <c r="N154" s="196"/>
      <c r="O154" s="196"/>
      <c r="P154" s="401"/>
      <c r="Q154" s="192">
        <v>0</v>
      </c>
      <c r="R154" s="192">
        <v>0</v>
      </c>
      <c r="S154" s="196"/>
      <c r="T154" s="192">
        <v>0</v>
      </c>
      <c r="U154" s="196"/>
      <c r="V154" s="192">
        <v>0</v>
      </c>
      <c r="W154" s="192">
        <v>0</v>
      </c>
      <c r="X154" s="192">
        <v>0</v>
      </c>
      <c r="Y154" s="422" t="s">
        <v>761</v>
      </c>
      <c r="Z154" s="422" t="s">
        <v>761</v>
      </c>
      <c r="AA154" s="422" t="s">
        <v>761</v>
      </c>
      <c r="AB154" s="196"/>
      <c r="AC154" s="196"/>
      <c r="AD154" s="196"/>
    </row>
    <row r="155" spans="1:30" ht="25.95" customHeight="1" x14ac:dyDescent="0.3">
      <c r="A155" s="196" t="s">
        <v>1671</v>
      </c>
      <c r="B155" s="196"/>
      <c r="C155" s="196" t="s">
        <v>1692</v>
      </c>
      <c r="D155" s="196" t="s">
        <v>1693</v>
      </c>
      <c r="E155" s="196"/>
      <c r="F155" s="196"/>
      <c r="G155" s="196"/>
      <c r="H155" s="196"/>
      <c r="I155" s="411"/>
      <c r="J155" s="196"/>
      <c r="K155" s="196" t="s">
        <v>1246</v>
      </c>
      <c r="L155" s="401"/>
      <c r="M155" s="196"/>
      <c r="N155" s="196"/>
      <c r="O155" s="196"/>
      <c r="P155" s="401"/>
      <c r="Q155" s="192">
        <v>0</v>
      </c>
      <c r="R155" s="192">
        <v>0</v>
      </c>
      <c r="S155" s="196"/>
      <c r="T155" s="192">
        <v>0</v>
      </c>
      <c r="U155" s="196"/>
      <c r="V155" s="192">
        <v>0</v>
      </c>
      <c r="W155" s="192">
        <v>0</v>
      </c>
      <c r="X155" s="192">
        <v>0</v>
      </c>
      <c r="Y155" s="422" t="s">
        <v>761</v>
      </c>
      <c r="Z155" s="422" t="s">
        <v>761</v>
      </c>
      <c r="AA155" s="422" t="s">
        <v>761</v>
      </c>
      <c r="AB155" s="196"/>
      <c r="AC155" s="196"/>
      <c r="AD155" s="196"/>
    </row>
    <row r="156" spans="1:30" ht="27.6" customHeight="1" x14ac:dyDescent="0.3">
      <c r="A156" s="196" t="s">
        <v>1672</v>
      </c>
      <c r="B156" s="196"/>
      <c r="C156" s="196" t="s">
        <v>1953</v>
      </c>
      <c r="D156" s="196" t="s">
        <v>1693</v>
      </c>
      <c r="E156" s="196"/>
      <c r="F156" s="196"/>
      <c r="G156" s="196"/>
      <c r="H156" s="196"/>
      <c r="I156" s="411"/>
      <c r="J156" s="196"/>
      <c r="K156" s="196" t="s">
        <v>1246</v>
      </c>
      <c r="L156" s="401"/>
      <c r="M156" s="196"/>
      <c r="N156" s="196"/>
      <c r="O156" s="196"/>
      <c r="P156" s="401"/>
      <c r="Q156" s="192">
        <v>0</v>
      </c>
      <c r="R156" s="192">
        <v>0</v>
      </c>
      <c r="S156" s="196"/>
      <c r="T156" s="192">
        <v>0</v>
      </c>
      <c r="U156" s="196"/>
      <c r="V156" s="192">
        <v>0</v>
      </c>
      <c r="W156" s="192">
        <v>0</v>
      </c>
      <c r="X156" s="192">
        <v>0</v>
      </c>
      <c r="Y156" s="422" t="s">
        <v>761</v>
      </c>
      <c r="Z156" s="422" t="s">
        <v>761</v>
      </c>
      <c r="AA156" s="422" t="s">
        <v>761</v>
      </c>
      <c r="AB156" s="196"/>
      <c r="AC156" s="196"/>
      <c r="AD156" s="196"/>
    </row>
    <row r="157" spans="1:30" ht="25.95" customHeight="1" x14ac:dyDescent="0.3">
      <c r="A157" s="196" t="s">
        <v>1673</v>
      </c>
      <c r="B157" s="196"/>
      <c r="C157" s="196" t="s">
        <v>1718</v>
      </c>
      <c r="D157" s="196" t="s">
        <v>1693</v>
      </c>
      <c r="E157" s="196"/>
      <c r="F157" s="196"/>
      <c r="G157" s="196"/>
      <c r="H157" s="196"/>
      <c r="I157" s="411"/>
      <c r="J157" s="196"/>
      <c r="K157" s="196" t="s">
        <v>1246</v>
      </c>
      <c r="L157" s="401"/>
      <c r="M157" s="196"/>
      <c r="N157" s="196"/>
      <c r="O157" s="196"/>
      <c r="P157" s="401"/>
      <c r="Q157" s="192">
        <v>0</v>
      </c>
      <c r="R157" s="192">
        <v>0</v>
      </c>
      <c r="S157" s="196"/>
      <c r="T157" s="192">
        <v>0</v>
      </c>
      <c r="U157" s="196"/>
      <c r="V157" s="192">
        <v>0</v>
      </c>
      <c r="W157" s="192">
        <v>0</v>
      </c>
      <c r="X157" s="192">
        <v>0</v>
      </c>
      <c r="Y157" s="422" t="s">
        <v>761</v>
      </c>
      <c r="Z157" s="422" t="s">
        <v>761</v>
      </c>
      <c r="AA157" s="422" t="s">
        <v>761</v>
      </c>
      <c r="AB157" s="196"/>
      <c r="AC157" s="196"/>
      <c r="AD157" s="196"/>
    </row>
    <row r="158" spans="1:30" ht="25.95" customHeight="1" x14ac:dyDescent="0.3">
      <c r="A158" s="196" t="s">
        <v>1674</v>
      </c>
      <c r="B158" s="196" t="s">
        <v>1689</v>
      </c>
      <c r="C158" s="196" t="s">
        <v>1690</v>
      </c>
      <c r="D158" s="196" t="s">
        <v>1693</v>
      </c>
      <c r="E158" s="196"/>
      <c r="F158" s="196"/>
      <c r="G158" s="196"/>
      <c r="H158" s="196"/>
      <c r="I158" s="411"/>
      <c r="J158" s="196"/>
      <c r="K158" s="196" t="s">
        <v>1246</v>
      </c>
      <c r="L158" s="401"/>
      <c r="M158" s="196"/>
      <c r="N158" s="196"/>
      <c r="O158" s="196"/>
      <c r="P158" s="401"/>
      <c r="Q158" s="192">
        <v>0</v>
      </c>
      <c r="R158" s="192">
        <v>0</v>
      </c>
      <c r="S158" s="196"/>
      <c r="T158" s="192">
        <v>0</v>
      </c>
      <c r="U158" s="196"/>
      <c r="V158" s="192">
        <v>0</v>
      </c>
      <c r="W158" s="192">
        <v>0</v>
      </c>
      <c r="X158" s="192">
        <v>0</v>
      </c>
      <c r="Y158" s="422" t="s">
        <v>761</v>
      </c>
      <c r="Z158" s="422" t="s">
        <v>761</v>
      </c>
      <c r="AA158" s="422" t="s">
        <v>761</v>
      </c>
      <c r="AB158" s="196"/>
      <c r="AC158" s="196"/>
      <c r="AD158" s="196"/>
    </row>
    <row r="159" spans="1:30" ht="25.95" customHeight="1" x14ac:dyDescent="0.3">
      <c r="A159" s="196" t="s">
        <v>1675</v>
      </c>
      <c r="B159" s="196"/>
      <c r="C159" s="196" t="s">
        <v>1688</v>
      </c>
      <c r="D159" s="196" t="s">
        <v>1693</v>
      </c>
      <c r="E159" s="196"/>
      <c r="F159" s="196"/>
      <c r="G159" s="196"/>
      <c r="H159" s="196"/>
      <c r="I159" s="411"/>
      <c r="J159" s="196"/>
      <c r="K159" s="196" t="s">
        <v>1246</v>
      </c>
      <c r="L159" s="401"/>
      <c r="M159" s="196"/>
      <c r="N159" s="196"/>
      <c r="O159" s="196"/>
      <c r="P159" s="401"/>
      <c r="Q159" s="192">
        <v>0</v>
      </c>
      <c r="R159" s="192">
        <v>0</v>
      </c>
      <c r="S159" s="196"/>
      <c r="T159" s="192">
        <v>0</v>
      </c>
      <c r="U159" s="196"/>
      <c r="V159" s="192">
        <v>0</v>
      </c>
      <c r="W159" s="192">
        <v>0</v>
      </c>
      <c r="X159" s="192">
        <v>0</v>
      </c>
      <c r="Y159" s="422" t="s">
        <v>761</v>
      </c>
      <c r="Z159" s="422" t="s">
        <v>761</v>
      </c>
      <c r="AA159" s="422" t="s">
        <v>761</v>
      </c>
      <c r="AB159" s="196"/>
      <c r="AC159" s="196"/>
      <c r="AD159" s="196"/>
    </row>
    <row r="160" spans="1:30" ht="25.95" customHeight="1" x14ac:dyDescent="0.3">
      <c r="A160" s="196" t="s">
        <v>1676</v>
      </c>
      <c r="B160" s="196" t="s">
        <v>1695</v>
      </c>
      <c r="C160" s="196" t="s">
        <v>1687</v>
      </c>
      <c r="D160" s="196" t="s">
        <v>1693</v>
      </c>
      <c r="E160" s="196"/>
      <c r="F160" s="196"/>
      <c r="G160" s="196"/>
      <c r="H160" s="196"/>
      <c r="I160" s="411"/>
      <c r="J160" s="196"/>
      <c r="K160" s="196" t="s">
        <v>1246</v>
      </c>
      <c r="L160" s="401"/>
      <c r="M160" s="196"/>
      <c r="N160" s="196"/>
      <c r="O160" s="196"/>
      <c r="P160" s="401"/>
      <c r="Q160" s="192">
        <v>0</v>
      </c>
      <c r="R160" s="192">
        <v>0</v>
      </c>
      <c r="S160" s="196"/>
      <c r="T160" s="192">
        <v>0</v>
      </c>
      <c r="U160" s="196"/>
      <c r="V160" s="192">
        <v>0</v>
      </c>
      <c r="W160" s="192">
        <v>0</v>
      </c>
      <c r="X160" s="192">
        <v>0</v>
      </c>
      <c r="Y160" s="422" t="s">
        <v>761</v>
      </c>
      <c r="Z160" s="422" t="s">
        <v>761</v>
      </c>
      <c r="AA160" s="422" t="s">
        <v>761</v>
      </c>
      <c r="AB160" s="196"/>
      <c r="AC160" s="196"/>
      <c r="AD160" s="196"/>
    </row>
    <row r="161" spans="1:30" ht="25.95" customHeight="1" x14ac:dyDescent="0.3">
      <c r="A161" s="196" t="s">
        <v>878</v>
      </c>
      <c r="B161" s="196" t="s">
        <v>1677</v>
      </c>
      <c r="C161" s="196" t="s">
        <v>1684</v>
      </c>
      <c r="D161" s="196" t="s">
        <v>1693</v>
      </c>
      <c r="E161" s="196"/>
      <c r="F161" s="196"/>
      <c r="G161" s="196"/>
      <c r="H161" s="196"/>
      <c r="I161" s="411"/>
      <c r="J161" s="196"/>
      <c r="K161" s="196" t="s">
        <v>1246</v>
      </c>
      <c r="L161" s="401"/>
      <c r="M161" s="196"/>
      <c r="N161" s="196"/>
      <c r="O161" s="196"/>
      <c r="P161" s="401"/>
      <c r="Q161" s="192">
        <v>0</v>
      </c>
      <c r="R161" s="192">
        <v>0</v>
      </c>
      <c r="S161" s="196"/>
      <c r="T161" s="192">
        <v>0</v>
      </c>
      <c r="U161" s="196"/>
      <c r="V161" s="192">
        <v>0</v>
      </c>
      <c r="W161" s="192">
        <v>0</v>
      </c>
      <c r="X161" s="192">
        <v>0</v>
      </c>
      <c r="Y161" s="422" t="s">
        <v>761</v>
      </c>
      <c r="Z161" s="422" t="s">
        <v>761</v>
      </c>
      <c r="AA161" s="422" t="s">
        <v>761</v>
      </c>
      <c r="AB161" s="196"/>
      <c r="AC161" s="196"/>
      <c r="AD161" s="196"/>
    </row>
    <row r="162" spans="1:30" ht="25.95" customHeight="1" x14ac:dyDescent="0.3">
      <c r="A162" s="196" t="s">
        <v>1679</v>
      </c>
      <c r="B162" s="196" t="s">
        <v>1678</v>
      </c>
      <c r="C162" s="196" t="s">
        <v>1686</v>
      </c>
      <c r="D162" s="196" t="s">
        <v>1693</v>
      </c>
      <c r="E162" s="196"/>
      <c r="F162" s="196"/>
      <c r="G162" s="196"/>
      <c r="H162" s="196"/>
      <c r="I162" s="411"/>
      <c r="J162" s="196"/>
      <c r="K162" s="196" t="s">
        <v>1246</v>
      </c>
      <c r="L162" s="401"/>
      <c r="M162" s="196"/>
      <c r="N162" s="196"/>
      <c r="O162" s="196"/>
      <c r="P162" s="401"/>
      <c r="Q162" s="192">
        <v>0</v>
      </c>
      <c r="R162" s="192">
        <v>0</v>
      </c>
      <c r="S162" s="196"/>
      <c r="T162" s="192">
        <v>0</v>
      </c>
      <c r="U162" s="196"/>
      <c r="V162" s="192">
        <v>0</v>
      </c>
      <c r="W162" s="192">
        <v>0</v>
      </c>
      <c r="X162" s="192">
        <v>0</v>
      </c>
      <c r="Y162" s="422" t="s">
        <v>761</v>
      </c>
      <c r="Z162" s="422" t="s">
        <v>761</v>
      </c>
      <c r="AA162" s="422" t="s">
        <v>761</v>
      </c>
      <c r="AB162" s="196"/>
      <c r="AC162" s="196"/>
      <c r="AD162" s="196"/>
    </row>
    <row r="163" spans="1:30" ht="25.95" customHeight="1" x14ac:dyDescent="0.3">
      <c r="A163" s="196" t="s">
        <v>1681</v>
      </c>
      <c r="B163" s="196" t="s">
        <v>1682</v>
      </c>
      <c r="C163" s="196" t="s">
        <v>1683</v>
      </c>
      <c r="D163" s="196" t="s">
        <v>1693</v>
      </c>
      <c r="E163" s="196"/>
      <c r="F163" s="196"/>
      <c r="G163" s="196"/>
      <c r="H163" s="196"/>
      <c r="I163" s="411"/>
      <c r="J163" s="196"/>
      <c r="K163" s="196" t="s">
        <v>1246</v>
      </c>
      <c r="L163" s="401"/>
      <c r="M163" s="196"/>
      <c r="N163" s="196"/>
      <c r="O163" s="196"/>
      <c r="P163" s="401"/>
      <c r="Q163" s="192">
        <v>0</v>
      </c>
      <c r="R163" s="192">
        <v>0</v>
      </c>
      <c r="S163" s="196"/>
      <c r="T163" s="192">
        <v>0</v>
      </c>
      <c r="U163" s="196"/>
      <c r="V163" s="192">
        <v>0</v>
      </c>
      <c r="W163" s="192">
        <v>0</v>
      </c>
      <c r="X163" s="192">
        <v>0</v>
      </c>
      <c r="Y163" s="422" t="s">
        <v>761</v>
      </c>
      <c r="Z163" s="422" t="s">
        <v>761</v>
      </c>
      <c r="AA163" s="422" t="s">
        <v>761</v>
      </c>
      <c r="AB163" s="196"/>
      <c r="AC163" s="196"/>
      <c r="AD163" s="196"/>
    </row>
    <row r="164" spans="1:30" ht="25.95" customHeight="1" x14ac:dyDescent="0.3">
      <c r="A164" s="196" t="s">
        <v>774</v>
      </c>
      <c r="B164" s="196" t="s">
        <v>1753</v>
      </c>
      <c r="C164" s="196" t="s">
        <v>1954</v>
      </c>
      <c r="D164" s="196" t="s">
        <v>1546</v>
      </c>
      <c r="E164" s="196"/>
      <c r="F164" s="196"/>
      <c r="G164" s="196"/>
      <c r="H164" s="196"/>
      <c r="I164" s="411"/>
      <c r="J164" s="196"/>
      <c r="K164" s="196" t="s">
        <v>1246</v>
      </c>
      <c r="L164" s="401"/>
      <c r="M164" s="196"/>
      <c r="N164" s="196"/>
      <c r="O164" s="196"/>
      <c r="P164" s="401"/>
      <c r="Q164" s="192">
        <v>0</v>
      </c>
      <c r="R164" s="192">
        <v>0</v>
      </c>
      <c r="S164" s="196"/>
      <c r="T164" s="192">
        <v>0</v>
      </c>
      <c r="U164" s="196"/>
      <c r="V164" s="192">
        <v>0</v>
      </c>
      <c r="W164" s="192">
        <v>0</v>
      </c>
      <c r="X164" s="192">
        <v>0</v>
      </c>
      <c r="Y164" s="422" t="s">
        <v>761</v>
      </c>
      <c r="Z164" s="422" t="s">
        <v>761</v>
      </c>
      <c r="AA164" s="422" t="s">
        <v>761</v>
      </c>
      <c r="AB164" s="196"/>
      <c r="AC164" s="196"/>
      <c r="AD164" s="196"/>
    </row>
    <row r="165" spans="1:30" ht="28.8" customHeight="1" x14ac:dyDescent="0.3">
      <c r="A165" s="196" t="s">
        <v>705</v>
      </c>
      <c r="B165" s="196" t="s">
        <v>1700</v>
      </c>
      <c r="C165" s="196" t="s">
        <v>1721</v>
      </c>
      <c r="D165" s="196" t="s">
        <v>1546</v>
      </c>
      <c r="E165" s="196"/>
      <c r="F165" s="196"/>
      <c r="G165" s="196"/>
      <c r="H165" s="196"/>
      <c r="I165" s="411"/>
      <c r="J165" s="196"/>
      <c r="K165" s="196" t="s">
        <v>1246</v>
      </c>
      <c r="L165" s="401"/>
      <c r="M165" s="196"/>
      <c r="N165" s="196"/>
      <c r="O165" s="196"/>
      <c r="P165" s="401"/>
      <c r="Q165" s="192">
        <v>0</v>
      </c>
      <c r="R165" s="192">
        <v>0</v>
      </c>
      <c r="S165" s="196"/>
      <c r="T165" s="192">
        <v>0</v>
      </c>
      <c r="U165" s="196"/>
      <c r="V165" s="192">
        <v>0</v>
      </c>
      <c r="W165" s="192">
        <v>0</v>
      </c>
      <c r="X165" s="192">
        <v>0</v>
      </c>
      <c r="Y165" s="422" t="s">
        <v>761</v>
      </c>
      <c r="Z165" s="422" t="s">
        <v>761</v>
      </c>
      <c r="AA165" s="422" t="s">
        <v>761</v>
      </c>
      <c r="AB165" s="196"/>
      <c r="AC165" s="196"/>
      <c r="AD165" s="196"/>
    </row>
    <row r="166" spans="1:30" ht="25.95" customHeight="1" x14ac:dyDescent="0.3">
      <c r="A166" s="196" t="s">
        <v>1729</v>
      </c>
      <c r="B166" s="196" t="s">
        <v>1728</v>
      </c>
      <c r="C166" s="196" t="s">
        <v>1731</v>
      </c>
      <c r="D166" s="196" t="s">
        <v>1546</v>
      </c>
      <c r="E166" s="196"/>
      <c r="F166" s="196"/>
      <c r="G166" s="196"/>
      <c r="H166" s="196"/>
      <c r="I166" s="411"/>
      <c r="J166" s="196"/>
      <c r="K166" s="196" t="s">
        <v>1246</v>
      </c>
      <c r="L166" s="401"/>
      <c r="M166" s="196"/>
      <c r="N166" s="196"/>
      <c r="O166" s="196"/>
      <c r="P166" s="401"/>
      <c r="Q166" s="192">
        <v>0</v>
      </c>
      <c r="R166" s="192">
        <v>0</v>
      </c>
      <c r="S166" s="196"/>
      <c r="T166" s="192">
        <v>0</v>
      </c>
      <c r="U166" s="196"/>
      <c r="V166" s="192">
        <v>0</v>
      </c>
      <c r="W166" s="192">
        <v>0</v>
      </c>
      <c r="X166" s="192">
        <v>0</v>
      </c>
      <c r="Y166" s="422" t="s">
        <v>761</v>
      </c>
      <c r="Z166" s="422" t="s">
        <v>761</v>
      </c>
      <c r="AA166" s="422" t="s">
        <v>761</v>
      </c>
      <c r="AB166" s="196"/>
      <c r="AC166" s="196"/>
      <c r="AD166" s="196"/>
    </row>
    <row r="167" spans="1:30" ht="25.95" customHeight="1" x14ac:dyDescent="0.3">
      <c r="A167" s="196" t="s">
        <v>1730</v>
      </c>
      <c r="B167" s="196"/>
      <c r="C167" s="196" t="s">
        <v>1732</v>
      </c>
      <c r="D167" s="196" t="s">
        <v>1546</v>
      </c>
      <c r="E167" s="196"/>
      <c r="F167" s="196"/>
      <c r="G167" s="196"/>
      <c r="H167" s="196"/>
      <c r="I167" s="411"/>
      <c r="J167" s="196"/>
      <c r="K167" s="196" t="s">
        <v>1246</v>
      </c>
      <c r="L167" s="401"/>
      <c r="M167" s="196"/>
      <c r="N167" s="196"/>
      <c r="O167" s="196"/>
      <c r="P167" s="401"/>
      <c r="Q167" s="192">
        <v>0</v>
      </c>
      <c r="R167" s="192">
        <v>0</v>
      </c>
      <c r="S167" s="196"/>
      <c r="T167" s="192">
        <v>0</v>
      </c>
      <c r="U167" s="196"/>
      <c r="V167" s="192">
        <v>0</v>
      </c>
      <c r="W167" s="192">
        <v>0</v>
      </c>
      <c r="X167" s="192">
        <v>0</v>
      </c>
      <c r="Y167" s="422" t="s">
        <v>761</v>
      </c>
      <c r="Z167" s="422" t="s">
        <v>761</v>
      </c>
      <c r="AA167" s="422" t="s">
        <v>761</v>
      </c>
      <c r="AB167" s="196"/>
      <c r="AC167" s="196"/>
      <c r="AD167" s="196"/>
    </row>
    <row r="168" spans="1:30" ht="25.95" customHeight="1" x14ac:dyDescent="0.3">
      <c r="A168" s="196" t="s">
        <v>1733</v>
      </c>
      <c r="B168" s="196" t="s">
        <v>1734</v>
      </c>
      <c r="C168" s="196"/>
      <c r="D168" s="196" t="s">
        <v>1546</v>
      </c>
      <c r="E168" s="196"/>
      <c r="F168" s="196"/>
      <c r="G168" s="196"/>
      <c r="H168" s="196"/>
      <c r="I168" s="411"/>
      <c r="J168" s="196"/>
      <c r="K168" s="196" t="s">
        <v>1246</v>
      </c>
      <c r="L168" s="401"/>
      <c r="M168" s="196"/>
      <c r="N168" s="196"/>
      <c r="O168" s="196"/>
      <c r="P168" s="401"/>
      <c r="Q168" s="192">
        <v>0</v>
      </c>
      <c r="R168" s="192">
        <v>0</v>
      </c>
      <c r="S168" s="196"/>
      <c r="T168" s="192">
        <v>0</v>
      </c>
      <c r="U168" s="196"/>
      <c r="V168" s="192">
        <v>0</v>
      </c>
      <c r="W168" s="192">
        <v>0</v>
      </c>
      <c r="X168" s="192">
        <v>0</v>
      </c>
      <c r="Y168" s="422" t="s">
        <v>761</v>
      </c>
      <c r="Z168" s="422" t="s">
        <v>761</v>
      </c>
      <c r="AA168" s="422" t="s">
        <v>761</v>
      </c>
      <c r="AB168" s="196"/>
      <c r="AC168" s="196"/>
      <c r="AD168" s="196"/>
    </row>
    <row r="169" spans="1:30" ht="25.95" customHeight="1" x14ac:dyDescent="0.3">
      <c r="A169" s="196" t="s">
        <v>1735</v>
      </c>
      <c r="B169" s="196" t="s">
        <v>1736</v>
      </c>
      <c r="C169" s="196" t="s">
        <v>1743</v>
      </c>
      <c r="D169" s="196" t="s">
        <v>1546</v>
      </c>
      <c r="E169" s="196"/>
      <c r="F169" s="196"/>
      <c r="G169" s="196"/>
      <c r="H169" s="196"/>
      <c r="I169" s="411"/>
      <c r="J169" s="196"/>
      <c r="K169" s="196" t="s">
        <v>1246</v>
      </c>
      <c r="L169" s="401"/>
      <c r="M169" s="196"/>
      <c r="N169" s="196"/>
      <c r="O169" s="196"/>
      <c r="P169" s="401"/>
      <c r="Q169" s="192">
        <v>0</v>
      </c>
      <c r="R169" s="192">
        <v>0</v>
      </c>
      <c r="S169" s="196"/>
      <c r="T169" s="192">
        <v>0</v>
      </c>
      <c r="U169" s="196"/>
      <c r="V169" s="192">
        <v>0</v>
      </c>
      <c r="W169" s="192">
        <v>0</v>
      </c>
      <c r="X169" s="192">
        <v>0</v>
      </c>
      <c r="Y169" s="422" t="s">
        <v>761</v>
      </c>
      <c r="Z169" s="422" t="s">
        <v>761</v>
      </c>
      <c r="AA169" s="422" t="s">
        <v>761</v>
      </c>
      <c r="AB169" s="196"/>
      <c r="AC169" s="196"/>
      <c r="AD169" s="196"/>
    </row>
    <row r="170" spans="1:30" ht="25.95" customHeight="1" x14ac:dyDescent="0.3">
      <c r="A170" s="196" t="s">
        <v>1738</v>
      </c>
      <c r="B170" s="196" t="s">
        <v>1739</v>
      </c>
      <c r="C170" s="196" t="s">
        <v>1740</v>
      </c>
      <c r="D170" s="196" t="s">
        <v>1546</v>
      </c>
      <c r="E170" s="196" t="s">
        <v>1250</v>
      </c>
      <c r="F170" s="196"/>
      <c r="G170" s="196"/>
      <c r="H170" s="196"/>
      <c r="I170" s="411"/>
      <c r="J170" s="196" t="s">
        <v>170</v>
      </c>
      <c r="K170" s="196" t="s">
        <v>1246</v>
      </c>
      <c r="L170" s="401" t="s">
        <v>57</v>
      </c>
      <c r="M170" s="196" t="s">
        <v>1248</v>
      </c>
      <c r="N170" s="196" t="s">
        <v>1249</v>
      </c>
      <c r="O170" s="196" t="s">
        <v>25</v>
      </c>
      <c r="P170" s="401">
        <v>0</v>
      </c>
      <c r="Q170" s="192">
        <v>0</v>
      </c>
      <c r="R170" s="192">
        <v>0</v>
      </c>
      <c r="S170" s="196" t="s">
        <v>26</v>
      </c>
      <c r="T170" s="192">
        <v>0</v>
      </c>
      <c r="U170" s="196"/>
      <c r="V170" s="192">
        <v>0</v>
      </c>
      <c r="W170" s="192">
        <v>0</v>
      </c>
      <c r="X170" s="192">
        <v>0</v>
      </c>
      <c r="Y170" s="422" t="s">
        <v>761</v>
      </c>
      <c r="Z170" s="422" t="s">
        <v>761</v>
      </c>
      <c r="AA170" s="422" t="s">
        <v>761</v>
      </c>
      <c r="AB170" s="196"/>
      <c r="AC170" s="196"/>
      <c r="AD170" s="196"/>
    </row>
    <row r="171" spans="1:30" ht="25.95" customHeight="1" x14ac:dyDescent="0.3">
      <c r="A171" s="196" t="s">
        <v>999</v>
      </c>
      <c r="B171" s="196" t="s">
        <v>1748</v>
      </c>
      <c r="C171" s="196" t="s">
        <v>1747</v>
      </c>
      <c r="D171" s="196" t="s">
        <v>1546</v>
      </c>
      <c r="E171" s="196"/>
      <c r="F171" s="196"/>
      <c r="G171" s="196"/>
      <c r="H171" s="196"/>
      <c r="I171" s="411"/>
      <c r="J171" s="196"/>
      <c r="K171" s="196" t="s">
        <v>1246</v>
      </c>
      <c r="L171" s="401"/>
      <c r="M171" s="196"/>
      <c r="N171" s="196"/>
      <c r="O171" s="196"/>
      <c r="P171" s="401"/>
      <c r="Q171" s="192">
        <v>0</v>
      </c>
      <c r="R171" s="192">
        <v>0</v>
      </c>
      <c r="S171" s="196"/>
      <c r="T171" s="192">
        <v>0</v>
      </c>
      <c r="U171" s="196"/>
      <c r="V171" s="192">
        <v>0</v>
      </c>
      <c r="W171" s="192">
        <v>0</v>
      </c>
      <c r="X171" s="192">
        <v>0</v>
      </c>
      <c r="Y171" s="422" t="s">
        <v>761</v>
      </c>
      <c r="Z171" s="422" t="s">
        <v>761</v>
      </c>
      <c r="AA171" s="422" t="s">
        <v>761</v>
      </c>
      <c r="AB171" s="196"/>
      <c r="AC171" s="196"/>
      <c r="AD171" s="196"/>
    </row>
    <row r="172" spans="1:30" s="403" customFormat="1" ht="25.95" customHeight="1" x14ac:dyDescent="0.3">
      <c r="A172" s="416" t="s">
        <v>1744</v>
      </c>
      <c r="B172" s="416" t="s">
        <v>1745</v>
      </c>
      <c r="C172" s="196" t="s">
        <v>1746</v>
      </c>
      <c r="D172" s="196" t="s">
        <v>1546</v>
      </c>
      <c r="E172" s="196"/>
      <c r="F172" s="196"/>
      <c r="G172" s="416"/>
      <c r="H172" s="416"/>
      <c r="I172" s="427"/>
      <c r="J172" s="416"/>
      <c r="K172" s="196" t="s">
        <v>1246</v>
      </c>
      <c r="L172" s="401"/>
      <c r="M172" s="196"/>
      <c r="N172" s="196"/>
      <c r="O172" s="196"/>
      <c r="P172" s="401"/>
      <c r="Q172" s="192">
        <v>0</v>
      </c>
      <c r="R172" s="192">
        <v>0</v>
      </c>
      <c r="S172" s="416"/>
      <c r="T172" s="192">
        <v>0</v>
      </c>
      <c r="U172" s="196"/>
      <c r="V172" s="192">
        <v>0</v>
      </c>
      <c r="W172" s="192">
        <v>0</v>
      </c>
      <c r="X172" s="192">
        <v>0</v>
      </c>
      <c r="Y172" s="422" t="s">
        <v>761</v>
      </c>
      <c r="Z172" s="424" t="s">
        <v>761</v>
      </c>
      <c r="AA172" s="422" t="s">
        <v>761</v>
      </c>
      <c r="AB172" s="416"/>
      <c r="AC172" s="416"/>
      <c r="AD172" s="416"/>
    </row>
    <row r="173" spans="1:30" ht="25.95" customHeight="1" x14ac:dyDescent="0.3">
      <c r="A173" s="196" t="s">
        <v>999</v>
      </c>
      <c r="B173" s="196" t="s">
        <v>1749</v>
      </c>
      <c r="C173" s="196" t="s">
        <v>1747</v>
      </c>
      <c r="D173" s="196" t="s">
        <v>1546</v>
      </c>
      <c r="E173" s="196"/>
      <c r="F173" s="196"/>
      <c r="G173" s="196"/>
      <c r="H173" s="196"/>
      <c r="I173" s="411"/>
      <c r="J173" s="196"/>
      <c r="K173" s="196" t="s">
        <v>1246</v>
      </c>
      <c r="L173" s="401"/>
      <c r="M173" s="196"/>
      <c r="N173" s="196"/>
      <c r="O173" s="196"/>
      <c r="P173" s="401"/>
      <c r="Q173" s="192">
        <v>0</v>
      </c>
      <c r="R173" s="192">
        <v>0</v>
      </c>
      <c r="S173" s="196"/>
      <c r="T173" s="192">
        <v>0</v>
      </c>
      <c r="U173" s="196"/>
      <c r="V173" s="192">
        <v>0</v>
      </c>
      <c r="W173" s="192">
        <v>0</v>
      </c>
      <c r="X173" s="192">
        <v>0</v>
      </c>
      <c r="Y173" s="422" t="s">
        <v>761</v>
      </c>
      <c r="Z173" s="422" t="s">
        <v>761</v>
      </c>
      <c r="AA173" s="422" t="s">
        <v>761</v>
      </c>
      <c r="AB173" s="196"/>
      <c r="AC173" s="196"/>
      <c r="AD173" s="196"/>
    </row>
    <row r="174" spans="1:30" ht="25.95" customHeight="1" x14ac:dyDescent="0.3">
      <c r="A174" s="196" t="s">
        <v>999</v>
      </c>
      <c r="B174" s="196" t="s">
        <v>1750</v>
      </c>
      <c r="C174" s="196" t="s">
        <v>1747</v>
      </c>
      <c r="D174" s="196" t="s">
        <v>1546</v>
      </c>
      <c r="E174" s="196"/>
      <c r="F174" s="196"/>
      <c r="G174" s="196"/>
      <c r="H174" s="196"/>
      <c r="I174" s="411"/>
      <c r="J174" s="196"/>
      <c r="K174" s="196" t="s">
        <v>1246</v>
      </c>
      <c r="L174" s="401"/>
      <c r="M174" s="196"/>
      <c r="N174" s="196"/>
      <c r="O174" s="196"/>
      <c r="P174" s="401"/>
      <c r="Q174" s="192">
        <v>0</v>
      </c>
      <c r="R174" s="192">
        <v>0</v>
      </c>
      <c r="S174" s="196"/>
      <c r="T174" s="192">
        <v>0</v>
      </c>
      <c r="U174" s="196"/>
      <c r="V174" s="192">
        <v>0</v>
      </c>
      <c r="W174" s="192">
        <v>0</v>
      </c>
      <c r="X174" s="192">
        <v>0</v>
      </c>
      <c r="Y174" s="422" t="s">
        <v>761</v>
      </c>
      <c r="Z174" s="422" t="s">
        <v>761</v>
      </c>
      <c r="AA174" s="422" t="s">
        <v>761</v>
      </c>
      <c r="AB174" s="196"/>
      <c r="AC174" s="196"/>
      <c r="AD174" s="196"/>
    </row>
    <row r="175" spans="1:30" ht="25.95" customHeight="1" x14ac:dyDescent="0.3">
      <c r="A175" s="196" t="s">
        <v>1767</v>
      </c>
      <c r="B175" s="196" t="s">
        <v>1770</v>
      </c>
      <c r="C175" s="196" t="s">
        <v>1768</v>
      </c>
      <c r="D175" s="196" t="s">
        <v>1546</v>
      </c>
      <c r="E175" s="196"/>
      <c r="F175" s="196"/>
      <c r="G175" s="196"/>
      <c r="H175" s="196"/>
      <c r="I175" s="411"/>
      <c r="J175" s="196"/>
      <c r="K175" s="196" t="s">
        <v>1246</v>
      </c>
      <c r="L175" s="401"/>
      <c r="M175" s="196"/>
      <c r="N175" s="196"/>
      <c r="O175" s="196"/>
      <c r="P175" s="401"/>
      <c r="Q175" s="192">
        <v>0</v>
      </c>
      <c r="R175" s="192">
        <v>0</v>
      </c>
      <c r="S175" s="196"/>
      <c r="T175" s="192">
        <v>0</v>
      </c>
      <c r="U175" s="196"/>
      <c r="V175" s="192">
        <v>0</v>
      </c>
      <c r="W175" s="192">
        <v>0</v>
      </c>
      <c r="X175" s="192">
        <v>0</v>
      </c>
      <c r="Y175" s="422" t="s">
        <v>761</v>
      </c>
      <c r="Z175" s="422" t="s">
        <v>761</v>
      </c>
      <c r="AA175" s="422" t="s">
        <v>761</v>
      </c>
      <c r="AB175" s="196"/>
      <c r="AC175" s="196"/>
      <c r="AD175" s="196"/>
    </row>
    <row r="176" spans="1:30" ht="25.95" customHeight="1" x14ac:dyDescent="0.3">
      <c r="A176" s="196" t="s">
        <v>1960</v>
      </c>
      <c r="B176" s="196" t="s">
        <v>1680</v>
      </c>
      <c r="C176" s="196" t="s">
        <v>1769</v>
      </c>
      <c r="D176" s="196" t="s">
        <v>1546</v>
      </c>
      <c r="E176" s="196"/>
      <c r="F176" s="196"/>
      <c r="G176" s="196"/>
      <c r="H176" s="196"/>
      <c r="I176" s="411"/>
      <c r="J176" s="196"/>
      <c r="K176" s="196" t="s">
        <v>1246</v>
      </c>
      <c r="L176" s="401"/>
      <c r="M176" s="196"/>
      <c r="N176" s="196"/>
      <c r="O176" s="196"/>
      <c r="P176" s="401"/>
      <c r="Q176" s="192">
        <v>0</v>
      </c>
      <c r="R176" s="192">
        <v>0</v>
      </c>
      <c r="S176" s="196"/>
      <c r="T176" s="192">
        <v>0</v>
      </c>
      <c r="U176" s="196"/>
      <c r="V176" s="192">
        <v>0</v>
      </c>
      <c r="W176" s="192">
        <v>0</v>
      </c>
      <c r="X176" s="192">
        <v>0</v>
      </c>
      <c r="Y176" s="422" t="s">
        <v>761</v>
      </c>
      <c r="Z176" s="422" t="s">
        <v>761</v>
      </c>
      <c r="AA176" s="422" t="s">
        <v>761</v>
      </c>
      <c r="AB176" s="196"/>
      <c r="AC176" s="196"/>
      <c r="AD176" s="196"/>
    </row>
    <row r="177" spans="1:47" ht="25.95" customHeight="1" x14ac:dyDescent="0.3">
      <c r="A177" s="196" t="s">
        <v>1774</v>
      </c>
      <c r="B177" s="196" t="s">
        <v>1775</v>
      </c>
      <c r="C177" s="196" t="s">
        <v>1779</v>
      </c>
      <c r="D177" s="196" t="s">
        <v>1546</v>
      </c>
      <c r="E177" s="196"/>
      <c r="F177" s="196"/>
      <c r="G177" s="196"/>
      <c r="H177" s="196"/>
      <c r="I177" s="411"/>
      <c r="J177" s="196"/>
      <c r="K177" s="196" t="s">
        <v>1246</v>
      </c>
      <c r="L177" s="401"/>
      <c r="M177" s="196"/>
      <c r="N177" s="196"/>
      <c r="O177" s="196"/>
      <c r="P177" s="401"/>
      <c r="Q177" s="192">
        <v>0</v>
      </c>
      <c r="R177" s="192">
        <v>0</v>
      </c>
      <c r="S177" s="196"/>
      <c r="T177" s="192">
        <v>0</v>
      </c>
      <c r="U177" s="196"/>
      <c r="V177" s="192">
        <v>0</v>
      </c>
      <c r="W177" s="192">
        <v>0</v>
      </c>
      <c r="X177" s="192">
        <v>0</v>
      </c>
      <c r="Y177" s="422" t="s">
        <v>761</v>
      </c>
      <c r="Z177" s="422" t="s">
        <v>761</v>
      </c>
      <c r="AA177" s="422" t="s">
        <v>761</v>
      </c>
      <c r="AB177" s="196"/>
      <c r="AC177" s="196"/>
      <c r="AD177" s="196"/>
    </row>
    <row r="178" spans="1:47" ht="25.95" customHeight="1" x14ac:dyDescent="0.3">
      <c r="A178" s="196" t="s">
        <v>1777</v>
      </c>
      <c r="B178" s="196" t="s">
        <v>1776</v>
      </c>
      <c r="C178" s="196" t="s">
        <v>1780</v>
      </c>
      <c r="D178" s="196" t="s">
        <v>1546</v>
      </c>
      <c r="E178" s="196"/>
      <c r="F178" s="196"/>
      <c r="G178" s="196"/>
      <c r="H178" s="196"/>
      <c r="I178" s="411"/>
      <c r="J178" s="196"/>
      <c r="K178" s="196" t="s">
        <v>1246</v>
      </c>
      <c r="L178" s="401"/>
      <c r="M178" s="196"/>
      <c r="N178" s="196"/>
      <c r="O178" s="196"/>
      <c r="P178" s="401"/>
      <c r="Q178" s="192">
        <v>0</v>
      </c>
      <c r="R178" s="192">
        <v>0</v>
      </c>
      <c r="S178" s="196"/>
      <c r="T178" s="192">
        <v>0</v>
      </c>
      <c r="U178" s="196"/>
      <c r="V178" s="192">
        <v>0</v>
      </c>
      <c r="W178" s="192">
        <v>0</v>
      </c>
      <c r="X178" s="192">
        <v>0</v>
      </c>
      <c r="Y178" s="422" t="s">
        <v>761</v>
      </c>
      <c r="Z178" s="422" t="s">
        <v>761</v>
      </c>
      <c r="AA178" s="422" t="s">
        <v>761</v>
      </c>
      <c r="AB178" s="196" t="s">
        <v>46</v>
      </c>
      <c r="AC178" s="196"/>
      <c r="AD178" s="196"/>
    </row>
    <row r="179" spans="1:47" ht="25.95" customHeight="1" x14ac:dyDescent="0.3">
      <c r="A179" s="196" t="s">
        <v>1778</v>
      </c>
      <c r="B179" s="196" t="s">
        <v>1784</v>
      </c>
      <c r="C179" s="196" t="s">
        <v>1781</v>
      </c>
      <c r="D179" s="196" t="s">
        <v>1546</v>
      </c>
      <c r="E179" s="196"/>
      <c r="F179" s="196"/>
      <c r="G179" s="196"/>
      <c r="H179" s="196"/>
      <c r="I179" s="411"/>
      <c r="J179" s="196"/>
      <c r="K179" s="196" t="s">
        <v>1246</v>
      </c>
      <c r="L179" s="401"/>
      <c r="M179" s="196"/>
      <c r="N179" s="196"/>
      <c r="O179" s="196"/>
      <c r="P179" s="401"/>
      <c r="Q179" s="192">
        <v>0</v>
      </c>
      <c r="R179" s="192">
        <v>0</v>
      </c>
      <c r="S179" s="196"/>
      <c r="T179" s="192">
        <v>0</v>
      </c>
      <c r="U179" s="196"/>
      <c r="V179" s="192">
        <v>0</v>
      </c>
      <c r="W179" s="192">
        <v>0</v>
      </c>
      <c r="X179" s="192">
        <v>0</v>
      </c>
      <c r="Y179" s="422" t="s">
        <v>761</v>
      </c>
      <c r="Z179" s="422" t="s">
        <v>761</v>
      </c>
      <c r="AA179" s="422" t="s">
        <v>761</v>
      </c>
      <c r="AB179" s="196" t="s">
        <v>46</v>
      </c>
      <c r="AC179" s="196"/>
      <c r="AD179" s="404"/>
    </row>
    <row r="180" spans="1:47" s="403" customFormat="1" ht="25.95" customHeight="1" x14ac:dyDescent="0.3">
      <c r="A180" s="416" t="s">
        <v>1786</v>
      </c>
      <c r="B180" s="416" t="s">
        <v>595</v>
      </c>
      <c r="C180" s="196" t="s">
        <v>1787</v>
      </c>
      <c r="D180" s="196" t="s">
        <v>1546</v>
      </c>
      <c r="E180" s="196"/>
      <c r="F180" s="196"/>
      <c r="G180" s="401"/>
      <c r="H180" s="196"/>
      <c r="I180" s="411"/>
      <c r="J180" s="196"/>
      <c r="K180" s="196" t="s">
        <v>1246</v>
      </c>
      <c r="L180" s="401"/>
      <c r="M180" s="196"/>
      <c r="N180" s="196"/>
      <c r="O180" s="196"/>
      <c r="P180" s="401"/>
      <c r="Q180" s="192">
        <v>0</v>
      </c>
      <c r="R180" s="192">
        <v>0</v>
      </c>
      <c r="S180" s="416"/>
      <c r="T180" s="192">
        <v>0</v>
      </c>
      <c r="U180" s="196"/>
      <c r="V180" s="192">
        <v>0</v>
      </c>
      <c r="W180" s="192">
        <v>0</v>
      </c>
      <c r="X180" s="192">
        <v>0</v>
      </c>
      <c r="Y180" s="422" t="s">
        <v>761</v>
      </c>
      <c r="Z180" s="422" t="s">
        <v>761</v>
      </c>
      <c r="AA180" s="422" t="s">
        <v>761</v>
      </c>
      <c r="AB180" s="416"/>
      <c r="AC180" s="416"/>
      <c r="AD180" s="416"/>
      <c r="AE180" s="176"/>
      <c r="AF180" s="176"/>
      <c r="AG180" s="176"/>
      <c r="AH180" s="176"/>
      <c r="AI180" s="176"/>
      <c r="AJ180" s="176"/>
      <c r="AK180" s="176"/>
      <c r="AL180" s="176"/>
      <c r="AM180" s="176"/>
      <c r="AN180" s="176"/>
      <c r="AO180" s="176"/>
      <c r="AP180" s="176"/>
      <c r="AQ180" s="176"/>
      <c r="AR180" s="176"/>
      <c r="AS180" s="176"/>
      <c r="AT180" s="176"/>
      <c r="AU180" s="176"/>
    </row>
    <row r="181" spans="1:47" ht="25.95" hidden="1" customHeight="1" x14ac:dyDescent="0.3">
      <c r="A181" s="196" t="s">
        <v>1789</v>
      </c>
      <c r="B181" s="196" t="s">
        <v>1821</v>
      </c>
      <c r="C181" s="413"/>
      <c r="D181" s="196" t="s">
        <v>1546</v>
      </c>
      <c r="E181" s="414"/>
      <c r="F181" s="413"/>
      <c r="G181" s="439" t="s">
        <v>2029</v>
      </c>
      <c r="H181" s="439" t="s">
        <v>2030</v>
      </c>
      <c r="I181" s="191">
        <v>45860</v>
      </c>
      <c r="J181" s="196" t="s">
        <v>1511</v>
      </c>
      <c r="K181" s="196" t="s">
        <v>1246</v>
      </c>
      <c r="L181" s="401" t="s">
        <v>1791</v>
      </c>
      <c r="M181" s="196" t="s">
        <v>1248</v>
      </c>
      <c r="N181" s="196" t="s">
        <v>1790</v>
      </c>
      <c r="O181" s="196" t="s">
        <v>46</v>
      </c>
      <c r="P181" s="401" t="s">
        <v>25</v>
      </c>
      <c r="Q181" s="192">
        <v>18553.8</v>
      </c>
      <c r="R181" s="192">
        <f>Q181*0.15</f>
        <v>2783.0699999999997</v>
      </c>
      <c r="S181" s="192" t="s">
        <v>72</v>
      </c>
      <c r="T181" s="192">
        <f>R181*0.6</f>
        <v>1669.8419999999999</v>
      </c>
      <c r="U181" s="196"/>
      <c r="V181" s="192">
        <f>R181*0.4</f>
        <v>1113.2279999999998</v>
      </c>
      <c r="W181" s="192">
        <f>R181*0.16</f>
        <v>445.29119999999995</v>
      </c>
      <c r="X181" s="192">
        <f>R181+W181</f>
        <v>3228.3611999999998</v>
      </c>
      <c r="Y181" s="398" t="s">
        <v>27</v>
      </c>
      <c r="Z181" s="398" t="s">
        <v>1969</v>
      </c>
      <c r="AA181" s="398" t="s">
        <v>27</v>
      </c>
      <c r="AB181" s="196" t="s">
        <v>514</v>
      </c>
      <c r="AC181" s="196" t="s">
        <v>73</v>
      </c>
      <c r="AD181" s="402"/>
    </row>
    <row r="182" spans="1:47" ht="25.95" hidden="1" customHeight="1" x14ac:dyDescent="0.3">
      <c r="A182" s="196" t="s">
        <v>1816</v>
      </c>
      <c r="B182" s="196" t="s">
        <v>1817</v>
      </c>
      <c r="C182" s="196"/>
      <c r="D182" s="196" t="s">
        <v>1546</v>
      </c>
      <c r="E182" s="196" t="s">
        <v>1250</v>
      </c>
      <c r="F182" s="196" t="s">
        <v>1250</v>
      </c>
      <c r="G182" s="202"/>
      <c r="H182" s="202"/>
      <c r="I182" s="432"/>
      <c r="J182" s="196" t="s">
        <v>1511</v>
      </c>
      <c r="K182" s="196" t="s">
        <v>1246</v>
      </c>
      <c r="L182" s="401" t="s">
        <v>1091</v>
      </c>
      <c r="M182" s="196" t="s">
        <v>1248</v>
      </c>
      <c r="N182" s="196" t="s">
        <v>1249</v>
      </c>
      <c r="O182" s="196" t="s">
        <v>46</v>
      </c>
      <c r="P182" s="401" t="s">
        <v>769</v>
      </c>
      <c r="Q182" s="192">
        <v>25026.7</v>
      </c>
      <c r="R182" s="192">
        <f>Q182*0.15</f>
        <v>3754.0050000000001</v>
      </c>
      <c r="S182" s="196" t="s">
        <v>72</v>
      </c>
      <c r="T182" s="192">
        <f>R182*1</f>
        <v>3754.0050000000001</v>
      </c>
      <c r="U182" s="196"/>
      <c r="V182" s="192">
        <f>0</f>
        <v>0</v>
      </c>
      <c r="W182" s="192">
        <f t="shared" ref="W182" si="31">R182*0.16</f>
        <v>600.64080000000001</v>
      </c>
      <c r="X182" s="192">
        <f t="shared" ref="X182" si="32">R182+W182</f>
        <v>4354.6458000000002</v>
      </c>
      <c r="Y182" s="398" t="s">
        <v>27</v>
      </c>
      <c r="Z182" s="190" t="s">
        <v>27</v>
      </c>
      <c r="AA182" s="398" t="s">
        <v>27</v>
      </c>
      <c r="AB182" s="196" t="s">
        <v>514</v>
      </c>
      <c r="AC182" s="196" t="s">
        <v>170</v>
      </c>
      <c r="AD182" s="196"/>
    </row>
    <row r="183" spans="1:47" ht="25.95" hidden="1" customHeight="1" x14ac:dyDescent="0.3">
      <c r="A183" s="196" t="s">
        <v>1793</v>
      </c>
      <c r="B183" s="196" t="s">
        <v>1794</v>
      </c>
      <c r="C183" s="413" t="s">
        <v>1795</v>
      </c>
      <c r="D183" s="196" t="s">
        <v>1546</v>
      </c>
      <c r="E183" s="414"/>
      <c r="F183" s="413"/>
      <c r="G183" s="439" t="s">
        <v>2031</v>
      </c>
      <c r="H183" s="439" t="s">
        <v>2032</v>
      </c>
      <c r="I183" s="191">
        <v>45890</v>
      </c>
      <c r="J183" s="196" t="s">
        <v>73</v>
      </c>
      <c r="K183" s="196" t="s">
        <v>1246</v>
      </c>
      <c r="L183" s="401" t="s">
        <v>1796</v>
      </c>
      <c r="M183" s="196" t="s">
        <v>1248</v>
      </c>
      <c r="N183" s="196" t="s">
        <v>1249</v>
      </c>
      <c r="O183" s="196" t="s">
        <v>1250</v>
      </c>
      <c r="P183" s="401" t="s">
        <v>315</v>
      </c>
      <c r="Q183" s="192">
        <v>3774.8</v>
      </c>
      <c r="R183" s="192">
        <f>Q183*0.2</f>
        <v>754.96</v>
      </c>
      <c r="S183" s="192" t="s">
        <v>72</v>
      </c>
      <c r="T183" s="192">
        <f>R183</f>
        <v>754.96</v>
      </c>
      <c r="U183" s="196"/>
      <c r="V183" s="192">
        <f>0</f>
        <v>0</v>
      </c>
      <c r="W183" s="192">
        <v>0</v>
      </c>
      <c r="X183" s="192">
        <f>R183</f>
        <v>754.96</v>
      </c>
      <c r="Y183" s="398" t="s">
        <v>27</v>
      </c>
      <c r="Z183" s="398" t="s">
        <v>1968</v>
      </c>
      <c r="AA183" s="398" t="s">
        <v>27</v>
      </c>
      <c r="AB183" s="196" t="s">
        <v>1807</v>
      </c>
      <c r="AC183" s="196" t="s">
        <v>73</v>
      </c>
      <c r="AD183" s="196" t="s">
        <v>1806</v>
      </c>
    </row>
    <row r="184" spans="1:47" ht="25.95" hidden="1" customHeight="1" x14ac:dyDescent="0.3">
      <c r="A184" s="196" t="s">
        <v>151</v>
      </c>
      <c r="B184" s="196" t="s">
        <v>1782</v>
      </c>
      <c r="C184" s="196" t="s">
        <v>1818</v>
      </c>
      <c r="D184" s="196" t="s">
        <v>1546</v>
      </c>
      <c r="E184" s="196" t="s">
        <v>1250</v>
      </c>
      <c r="F184" s="196" t="s">
        <v>1250</v>
      </c>
      <c r="G184" s="196" t="s">
        <v>1965</v>
      </c>
      <c r="H184" s="196" t="s">
        <v>1966</v>
      </c>
      <c r="I184" s="411">
        <v>45903</v>
      </c>
      <c r="J184" s="196" t="s">
        <v>170</v>
      </c>
      <c r="K184" s="196" t="s">
        <v>1246</v>
      </c>
      <c r="L184" s="401" t="s">
        <v>57</v>
      </c>
      <c r="M184" s="196" t="s">
        <v>1248</v>
      </c>
      <c r="N184" s="196" t="s">
        <v>1249</v>
      </c>
      <c r="O184" s="196" t="s">
        <v>46</v>
      </c>
      <c r="P184" s="401" t="s">
        <v>25</v>
      </c>
      <c r="Q184" s="192">
        <v>14000</v>
      </c>
      <c r="R184" s="192">
        <f>Q184*0.15</f>
        <v>2100</v>
      </c>
      <c r="S184" s="196" t="s">
        <v>72</v>
      </c>
      <c r="T184" s="192">
        <f>R184*0.6</f>
        <v>1260</v>
      </c>
      <c r="U184" s="196"/>
      <c r="V184" s="192">
        <f>R184*0.4</f>
        <v>840</v>
      </c>
      <c r="W184" s="192">
        <f>R184*0.16</f>
        <v>336</v>
      </c>
      <c r="X184" s="192">
        <f>R184+W184</f>
        <v>2436</v>
      </c>
      <c r="Y184" s="398" t="s">
        <v>27</v>
      </c>
      <c r="Z184" s="190" t="s">
        <v>1995</v>
      </c>
      <c r="AA184" s="398" t="s">
        <v>27</v>
      </c>
      <c r="AB184" s="196" t="s">
        <v>514</v>
      </c>
      <c r="AC184" s="196" t="s">
        <v>170</v>
      </c>
      <c r="AD184" s="196"/>
    </row>
    <row r="185" spans="1:47" ht="25.95" customHeight="1" x14ac:dyDescent="0.3">
      <c r="A185" s="196" t="s">
        <v>1824</v>
      </c>
      <c r="B185" s="196" t="s">
        <v>1825</v>
      </c>
      <c r="C185" s="196" t="s">
        <v>1955</v>
      </c>
      <c r="D185" s="196" t="s">
        <v>1546</v>
      </c>
      <c r="E185" s="196"/>
      <c r="F185" s="196"/>
      <c r="G185" s="196"/>
      <c r="H185" s="196"/>
      <c r="I185" s="411"/>
      <c r="J185" s="196"/>
      <c r="K185" s="196" t="s">
        <v>1246</v>
      </c>
      <c r="L185" s="401"/>
      <c r="M185" s="196"/>
      <c r="N185" s="196"/>
      <c r="O185" s="196"/>
      <c r="P185" s="401"/>
      <c r="Q185" s="192">
        <v>0</v>
      </c>
      <c r="R185" s="192">
        <v>0</v>
      </c>
      <c r="S185" s="196"/>
      <c r="T185" s="192">
        <v>0</v>
      </c>
      <c r="U185" s="196"/>
      <c r="V185" s="192">
        <v>0</v>
      </c>
      <c r="W185" s="192">
        <v>0</v>
      </c>
      <c r="X185" s="192">
        <v>0</v>
      </c>
      <c r="Y185" s="422" t="s">
        <v>761</v>
      </c>
      <c r="Z185" s="422" t="s">
        <v>761</v>
      </c>
      <c r="AA185" s="422" t="s">
        <v>761</v>
      </c>
      <c r="AB185" s="196"/>
      <c r="AC185" s="196"/>
      <c r="AD185" s="404"/>
    </row>
    <row r="186" spans="1:47" ht="23.4" customHeight="1" x14ac:dyDescent="0.3">
      <c r="A186" s="196" t="s">
        <v>1834</v>
      </c>
      <c r="B186" s="196" t="s">
        <v>1837</v>
      </c>
      <c r="C186" s="196" t="s">
        <v>1835</v>
      </c>
      <c r="D186" s="196" t="s">
        <v>1546</v>
      </c>
      <c r="E186" s="196" t="s">
        <v>1836</v>
      </c>
      <c r="F186" s="196"/>
      <c r="G186" s="401"/>
      <c r="H186" s="196"/>
      <c r="I186" s="411"/>
      <c r="J186" s="196"/>
      <c r="K186" s="196" t="s">
        <v>1246</v>
      </c>
      <c r="L186" s="196" t="s">
        <v>57</v>
      </c>
      <c r="M186" s="196" t="s">
        <v>1248</v>
      </c>
      <c r="N186" s="196" t="s">
        <v>1249</v>
      </c>
      <c r="O186" s="196" t="s">
        <v>1325</v>
      </c>
      <c r="P186" s="401" t="s">
        <v>47</v>
      </c>
      <c r="Q186" s="192">
        <v>0</v>
      </c>
      <c r="R186" s="192">
        <v>0</v>
      </c>
      <c r="S186" s="410" t="s">
        <v>1273</v>
      </c>
      <c r="T186" s="192">
        <v>0</v>
      </c>
      <c r="U186" s="408" t="s">
        <v>340</v>
      </c>
      <c r="V186" s="192">
        <v>0</v>
      </c>
      <c r="W186" s="192">
        <v>0</v>
      </c>
      <c r="X186" s="192">
        <v>0</v>
      </c>
      <c r="Y186" s="422" t="s">
        <v>761</v>
      </c>
      <c r="Z186" s="422" t="s">
        <v>761</v>
      </c>
      <c r="AA186" s="422" t="s">
        <v>761</v>
      </c>
      <c r="AB186" s="196" t="s">
        <v>1506</v>
      </c>
      <c r="AC186" s="196"/>
      <c r="AD186" s="196"/>
    </row>
    <row r="187" spans="1:47" ht="25.95" customHeight="1" x14ac:dyDescent="0.3">
      <c r="A187" s="196" t="s">
        <v>1834</v>
      </c>
      <c r="B187" s="196" t="s">
        <v>1837</v>
      </c>
      <c r="C187" s="196" t="s">
        <v>1835</v>
      </c>
      <c r="D187" s="196" t="s">
        <v>1546</v>
      </c>
      <c r="E187" s="196" t="s">
        <v>1836</v>
      </c>
      <c r="F187" s="196"/>
      <c r="G187" s="401"/>
      <c r="H187" s="196"/>
      <c r="I187" s="411"/>
      <c r="J187" s="196"/>
      <c r="K187" s="196" t="s">
        <v>1246</v>
      </c>
      <c r="L187" s="401" t="s">
        <v>213</v>
      </c>
      <c r="M187" s="196" t="s">
        <v>1248</v>
      </c>
      <c r="N187" s="196" t="s">
        <v>1249</v>
      </c>
      <c r="O187" s="196" t="s">
        <v>1250</v>
      </c>
      <c r="P187" s="401" t="s">
        <v>47</v>
      </c>
      <c r="Q187" s="192">
        <v>0</v>
      </c>
      <c r="R187" s="192">
        <v>0</v>
      </c>
      <c r="S187" s="196" t="s">
        <v>26</v>
      </c>
      <c r="T187" s="192">
        <v>0</v>
      </c>
      <c r="U187" s="196"/>
      <c r="V187" s="192">
        <v>0</v>
      </c>
      <c r="W187" s="192">
        <v>0</v>
      </c>
      <c r="X187" s="192">
        <v>0</v>
      </c>
      <c r="Y187" s="422" t="s">
        <v>761</v>
      </c>
      <c r="Z187" s="422" t="s">
        <v>761</v>
      </c>
      <c r="AA187" s="422" t="s">
        <v>761</v>
      </c>
      <c r="AB187" s="196" t="s">
        <v>24</v>
      </c>
      <c r="AC187" s="196"/>
      <c r="AD187" s="196"/>
    </row>
    <row r="188" spans="1:47" ht="25.95" customHeight="1" x14ac:dyDescent="0.3">
      <c r="A188" s="196" t="s">
        <v>1839</v>
      </c>
      <c r="B188" s="196" t="s">
        <v>1840</v>
      </c>
      <c r="C188" s="196" t="s">
        <v>1841</v>
      </c>
      <c r="D188" s="196" t="s">
        <v>1546</v>
      </c>
      <c r="E188" s="196" t="s">
        <v>1838</v>
      </c>
      <c r="F188" s="196"/>
      <c r="G188" s="401"/>
      <c r="H188" s="196"/>
      <c r="I188" s="411"/>
      <c r="J188" s="196"/>
      <c r="K188" s="196" t="s">
        <v>1246</v>
      </c>
      <c r="L188" s="196" t="s">
        <v>57</v>
      </c>
      <c r="M188" s="196" t="s">
        <v>1248</v>
      </c>
      <c r="N188" s="196" t="s">
        <v>1249</v>
      </c>
      <c r="O188" s="196" t="s">
        <v>1325</v>
      </c>
      <c r="P188" s="401" t="s">
        <v>47</v>
      </c>
      <c r="Q188" s="192">
        <v>0</v>
      </c>
      <c r="R188" s="192">
        <v>0</v>
      </c>
      <c r="S188" s="410" t="s">
        <v>1273</v>
      </c>
      <c r="T188" s="192">
        <v>0</v>
      </c>
      <c r="U188" s="408" t="s">
        <v>340</v>
      </c>
      <c r="V188" s="192">
        <v>0</v>
      </c>
      <c r="W188" s="192">
        <v>0</v>
      </c>
      <c r="X188" s="192">
        <v>0</v>
      </c>
      <c r="Y188" s="422" t="s">
        <v>761</v>
      </c>
      <c r="Z188" s="422" t="s">
        <v>761</v>
      </c>
      <c r="AA188" s="422" t="s">
        <v>761</v>
      </c>
      <c r="AB188" s="196" t="s">
        <v>1506</v>
      </c>
      <c r="AC188" s="196"/>
      <c r="AD188" s="196"/>
    </row>
    <row r="189" spans="1:47" ht="25.95" customHeight="1" x14ac:dyDescent="0.3">
      <c r="A189" s="196" t="s">
        <v>1839</v>
      </c>
      <c r="B189" s="196" t="s">
        <v>1840</v>
      </c>
      <c r="C189" s="196" t="s">
        <v>1841</v>
      </c>
      <c r="D189" s="196" t="s">
        <v>1546</v>
      </c>
      <c r="E189" s="196" t="s">
        <v>1838</v>
      </c>
      <c r="F189" s="196"/>
      <c r="G189" s="401"/>
      <c r="H189" s="196"/>
      <c r="I189" s="411"/>
      <c r="J189" s="196"/>
      <c r="K189" s="196" t="s">
        <v>1246</v>
      </c>
      <c r="L189" s="401" t="s">
        <v>213</v>
      </c>
      <c r="M189" s="196" t="s">
        <v>1248</v>
      </c>
      <c r="N189" s="196" t="s">
        <v>1249</v>
      </c>
      <c r="O189" s="196" t="s">
        <v>1250</v>
      </c>
      <c r="P189" s="401" t="s">
        <v>47</v>
      </c>
      <c r="Q189" s="192">
        <v>0</v>
      </c>
      <c r="R189" s="192">
        <v>0</v>
      </c>
      <c r="S189" s="196" t="s">
        <v>26</v>
      </c>
      <c r="T189" s="192">
        <v>0</v>
      </c>
      <c r="U189" s="196"/>
      <c r="V189" s="192">
        <v>0</v>
      </c>
      <c r="W189" s="192">
        <v>0</v>
      </c>
      <c r="X189" s="192">
        <v>0</v>
      </c>
      <c r="Y189" s="422" t="s">
        <v>761</v>
      </c>
      <c r="Z189" s="422" t="s">
        <v>761</v>
      </c>
      <c r="AA189" s="422" t="s">
        <v>761</v>
      </c>
      <c r="AB189" s="196" t="s">
        <v>24</v>
      </c>
      <c r="AC189" s="196"/>
      <c r="AD189" s="196"/>
    </row>
    <row r="190" spans="1:47" s="209" customFormat="1" ht="27" customHeight="1" x14ac:dyDescent="0.3">
      <c r="A190" s="196" t="s">
        <v>1957</v>
      </c>
      <c r="B190" s="196" t="s">
        <v>1958</v>
      </c>
      <c r="C190" s="413"/>
      <c r="D190" s="196"/>
      <c r="E190" s="414"/>
      <c r="F190" s="413"/>
      <c r="G190" s="414" t="s">
        <v>2049</v>
      </c>
      <c r="H190" s="196" t="s">
        <v>2050</v>
      </c>
      <c r="I190" s="411">
        <v>45936</v>
      </c>
      <c r="J190" s="196" t="s">
        <v>209</v>
      </c>
      <c r="K190" s="196" t="s">
        <v>1246</v>
      </c>
      <c r="L190" s="401" t="s">
        <v>57</v>
      </c>
      <c r="M190" s="196"/>
      <c r="N190" s="196"/>
      <c r="O190" s="196"/>
      <c r="P190" s="401" t="s">
        <v>25</v>
      </c>
      <c r="Q190" s="192">
        <v>25026.39</v>
      </c>
      <c r="R190" s="192">
        <f>Q190*0.15</f>
        <v>3753.9584999999997</v>
      </c>
      <c r="S190" s="410" t="s">
        <v>72</v>
      </c>
      <c r="T190" s="192">
        <f>R190*0.6</f>
        <v>2252.3750999999997</v>
      </c>
      <c r="U190" s="407" t="s">
        <v>340</v>
      </c>
      <c r="V190" s="192">
        <f>R190*0.4</f>
        <v>1501.5834</v>
      </c>
      <c r="W190" s="192">
        <f t="shared" ref="W190" si="33">R190*0.16</f>
        <v>600.63335999999993</v>
      </c>
      <c r="X190" s="192">
        <f t="shared" ref="X190" si="34">R190+W190</f>
        <v>4354.5918599999995</v>
      </c>
      <c r="Y190" s="196" t="s">
        <v>340</v>
      </c>
      <c r="Z190" s="196" t="s">
        <v>340</v>
      </c>
      <c r="AA190" s="196" t="s">
        <v>340</v>
      </c>
      <c r="AB190" s="421" t="s">
        <v>46</v>
      </c>
      <c r="AC190" s="196"/>
      <c r="AD190" s="196"/>
    </row>
    <row r="191" spans="1:47" s="443" customFormat="1" ht="25.95" customHeight="1" x14ac:dyDescent="0.3">
      <c r="A191" s="397" t="s">
        <v>1102</v>
      </c>
      <c r="B191" s="397" t="s">
        <v>1959</v>
      </c>
      <c r="C191" s="97"/>
      <c r="D191" s="46"/>
      <c r="E191" s="412"/>
      <c r="F191" s="97"/>
      <c r="G191" s="448" t="s">
        <v>2051</v>
      </c>
      <c r="H191" s="397" t="s">
        <v>2052</v>
      </c>
      <c r="I191" s="440">
        <v>45944</v>
      </c>
      <c r="J191" s="397" t="s">
        <v>209</v>
      </c>
      <c r="K191" s="397" t="s">
        <v>1246</v>
      </c>
      <c r="L191" s="441" t="s">
        <v>57</v>
      </c>
      <c r="M191" s="46"/>
      <c r="N191" s="46"/>
      <c r="O191" s="46"/>
      <c r="P191" s="441" t="s">
        <v>25</v>
      </c>
      <c r="Q191" s="442">
        <v>60641.21</v>
      </c>
      <c r="R191" s="442">
        <v>0</v>
      </c>
      <c r="S191" s="450"/>
      <c r="T191" s="450"/>
      <c r="U191" s="450"/>
      <c r="V191" s="442">
        <v>0</v>
      </c>
      <c r="W191" s="442">
        <f>V191*0.16</f>
        <v>0</v>
      </c>
      <c r="X191" s="442">
        <f>V191+W191</f>
        <v>0</v>
      </c>
      <c r="Y191" s="397" t="s">
        <v>340</v>
      </c>
      <c r="Z191" s="397" t="s">
        <v>340</v>
      </c>
      <c r="AA191" s="397" t="s">
        <v>340</v>
      </c>
      <c r="AB191" s="452" t="s">
        <v>46</v>
      </c>
      <c r="AC191" s="397"/>
      <c r="AD191" s="450"/>
    </row>
    <row r="192" spans="1:47" s="443" customFormat="1" ht="24.6" customHeight="1" x14ac:dyDescent="0.3">
      <c r="A192" s="397" t="s">
        <v>1227</v>
      </c>
      <c r="B192" s="397" t="s">
        <v>2001</v>
      </c>
      <c r="C192" s="414"/>
      <c r="D192" s="196"/>
      <c r="E192" s="196"/>
      <c r="F192" s="414"/>
      <c r="G192" s="397" t="s">
        <v>2012</v>
      </c>
      <c r="H192" s="397" t="s">
        <v>2053</v>
      </c>
      <c r="I192" s="444">
        <v>45946</v>
      </c>
      <c r="J192" s="397" t="s">
        <v>209</v>
      </c>
      <c r="K192" s="397" t="s">
        <v>1246</v>
      </c>
      <c r="L192" s="397" t="s">
        <v>57</v>
      </c>
      <c r="M192" s="196" t="s">
        <v>25</v>
      </c>
      <c r="N192" s="46"/>
      <c r="O192" s="46"/>
      <c r="P192" s="397" t="s">
        <v>25</v>
      </c>
      <c r="Q192" s="442">
        <v>22562.37</v>
      </c>
      <c r="R192" s="442">
        <f t="shared" ref="R192:R197" si="35">Q192*0.15</f>
        <v>3384.3554999999997</v>
      </c>
      <c r="S192" s="397" t="s">
        <v>26</v>
      </c>
      <c r="T192" s="442">
        <v>0</v>
      </c>
      <c r="U192" s="397"/>
      <c r="V192" s="445">
        <f>R192</f>
        <v>3384.3554999999997</v>
      </c>
      <c r="W192" s="442">
        <f t="shared" ref="W192:W196" si="36">R192*0.16</f>
        <v>541.49687999999992</v>
      </c>
      <c r="X192" s="442">
        <f t="shared" ref="X192:X196" si="37">R192+W192</f>
        <v>3925.8523799999994</v>
      </c>
      <c r="Y192" s="397" t="s">
        <v>340</v>
      </c>
      <c r="Z192" s="397" t="s">
        <v>340</v>
      </c>
      <c r="AA192" s="397" t="s">
        <v>340</v>
      </c>
      <c r="AB192" s="397" t="s">
        <v>155</v>
      </c>
      <c r="AC192" s="397"/>
      <c r="AD192" s="446"/>
    </row>
    <row r="193" spans="1:30" s="443" customFormat="1" ht="25.95" customHeight="1" x14ac:dyDescent="0.3">
      <c r="A193" s="397" t="s">
        <v>2014</v>
      </c>
      <c r="B193" s="397" t="s">
        <v>2015</v>
      </c>
      <c r="C193" s="97"/>
      <c r="D193" s="46"/>
      <c r="E193" s="412"/>
      <c r="F193" s="97"/>
      <c r="G193" s="448" t="s">
        <v>2054</v>
      </c>
      <c r="H193" s="397" t="s">
        <v>2055</v>
      </c>
      <c r="I193" s="440">
        <v>45938</v>
      </c>
      <c r="J193" s="397" t="s">
        <v>209</v>
      </c>
      <c r="K193" s="397" t="s">
        <v>1246</v>
      </c>
      <c r="L193" s="397" t="s">
        <v>57</v>
      </c>
      <c r="M193" s="46" t="s">
        <v>374</v>
      </c>
      <c r="N193" s="46" t="s">
        <v>13</v>
      </c>
      <c r="O193" s="46"/>
      <c r="P193" s="397" t="s">
        <v>315</v>
      </c>
      <c r="Q193" s="442">
        <v>8609.6</v>
      </c>
      <c r="R193" s="442">
        <f t="shared" si="35"/>
        <v>1291.44</v>
      </c>
      <c r="S193" s="397" t="s">
        <v>72</v>
      </c>
      <c r="T193" s="442">
        <f>R193*0.6</f>
        <v>774.86400000000003</v>
      </c>
      <c r="U193" s="397" t="s">
        <v>340</v>
      </c>
      <c r="V193" s="445">
        <f>R193*0.4</f>
        <v>516.57600000000002</v>
      </c>
      <c r="W193" s="442">
        <f t="shared" si="36"/>
        <v>206.63040000000001</v>
      </c>
      <c r="X193" s="442">
        <f t="shared" si="37"/>
        <v>1498.0704000000001</v>
      </c>
      <c r="Y193" s="397" t="s">
        <v>340</v>
      </c>
      <c r="Z193" s="397" t="s">
        <v>340</v>
      </c>
      <c r="AA193" s="397" t="s">
        <v>340</v>
      </c>
      <c r="AB193" s="397" t="s">
        <v>46</v>
      </c>
      <c r="AC193" s="397"/>
      <c r="AD193" s="449"/>
    </row>
    <row r="194" spans="1:30" ht="27.6" customHeight="1" x14ac:dyDescent="0.3">
      <c r="A194" s="196" t="s">
        <v>1529</v>
      </c>
      <c r="B194" s="196" t="s">
        <v>2016</v>
      </c>
      <c r="C194" s="140"/>
      <c r="D194" s="46"/>
      <c r="E194" s="412"/>
      <c r="F194" s="97"/>
      <c r="G194" s="414" t="s">
        <v>2056</v>
      </c>
      <c r="H194" s="196" t="s">
        <v>2057</v>
      </c>
      <c r="I194" s="411">
        <v>45925</v>
      </c>
      <c r="J194" s="196" t="s">
        <v>170</v>
      </c>
      <c r="K194" s="196" t="s">
        <v>1246</v>
      </c>
      <c r="L194" s="401" t="s">
        <v>57</v>
      </c>
      <c r="M194" s="223">
        <f>SUBTOTAL(9,T2:T184)</f>
        <v>191423.43900000001</v>
      </c>
      <c r="N194" s="46">
        <f>SUBTOTAL(9,V2:V184)</f>
        <v>738939.72914999991</v>
      </c>
      <c r="O194" s="46"/>
      <c r="P194" s="401" t="s">
        <v>315</v>
      </c>
      <c r="Q194" s="192">
        <v>10538.5</v>
      </c>
      <c r="R194" s="192">
        <f t="shared" si="35"/>
        <v>1580.7749999999999</v>
      </c>
      <c r="S194" s="196" t="s">
        <v>72</v>
      </c>
      <c r="T194" s="192">
        <f>R194*0.6</f>
        <v>948.46499999999992</v>
      </c>
      <c r="U194" s="196" t="s">
        <v>340</v>
      </c>
      <c r="V194" s="419">
        <f>R194*0.4</f>
        <v>632.30999999999995</v>
      </c>
      <c r="W194" s="192">
        <f t="shared" si="36"/>
        <v>252.92399999999998</v>
      </c>
      <c r="X194" s="192">
        <f t="shared" si="37"/>
        <v>1833.6989999999998</v>
      </c>
      <c r="Y194" s="196" t="s">
        <v>340</v>
      </c>
      <c r="Z194" s="196" t="s">
        <v>2058</v>
      </c>
      <c r="AA194" s="196" t="s">
        <v>340</v>
      </c>
      <c r="AB194" s="196" t="s">
        <v>46</v>
      </c>
      <c r="AC194" s="196"/>
      <c r="AD194" s="196"/>
    </row>
    <row r="195" spans="1:30" ht="25.95" customHeight="1" x14ac:dyDescent="0.3">
      <c r="A195" s="196" t="s">
        <v>1494</v>
      </c>
      <c r="B195" s="196" t="s">
        <v>2017</v>
      </c>
      <c r="C195" s="428"/>
      <c r="D195" s="196"/>
      <c r="E195" s="400"/>
      <c r="F195" s="196"/>
      <c r="G195" s="196" t="s">
        <v>2059</v>
      </c>
      <c r="H195" s="196" t="s">
        <v>2060</v>
      </c>
      <c r="I195" s="411">
        <v>45943</v>
      </c>
      <c r="J195" s="192" t="s">
        <v>209</v>
      </c>
      <c r="K195" s="196" t="s">
        <v>1246</v>
      </c>
      <c r="L195" s="401" t="s">
        <v>57</v>
      </c>
      <c r="M195" s="429"/>
      <c r="N195" s="196"/>
      <c r="O195" s="196"/>
      <c r="P195" s="401" t="s">
        <v>25</v>
      </c>
      <c r="Q195" s="192">
        <v>29295.17</v>
      </c>
      <c r="R195" s="192">
        <f t="shared" si="35"/>
        <v>4394.2754999999997</v>
      </c>
      <c r="S195" s="196" t="s">
        <v>26</v>
      </c>
      <c r="T195" s="192">
        <v>0</v>
      </c>
      <c r="U195" s="196"/>
      <c r="V195" s="419">
        <f>R195</f>
        <v>4394.2754999999997</v>
      </c>
      <c r="W195" s="192">
        <f t="shared" si="36"/>
        <v>703.08407999999997</v>
      </c>
      <c r="X195" s="192">
        <f t="shared" si="37"/>
        <v>5097.3595799999994</v>
      </c>
      <c r="Y195" s="196" t="s">
        <v>340</v>
      </c>
      <c r="Z195" s="196" t="s">
        <v>340</v>
      </c>
      <c r="AA195" s="196" t="s">
        <v>340</v>
      </c>
      <c r="AB195" s="196" t="s">
        <v>24</v>
      </c>
      <c r="AC195" s="196"/>
      <c r="AD195" s="196"/>
    </row>
    <row r="196" spans="1:30" s="261" customFormat="1" ht="25.95" customHeight="1" x14ac:dyDescent="0.3">
      <c r="A196" s="202" t="s">
        <v>1828</v>
      </c>
      <c r="B196" s="202" t="s">
        <v>2018</v>
      </c>
      <c r="C196" s="140"/>
      <c r="D196" s="46"/>
      <c r="E196" s="412"/>
      <c r="F196" s="97"/>
      <c r="G196" s="431"/>
      <c r="H196" s="431"/>
      <c r="I196" s="432"/>
      <c r="J196" s="202"/>
      <c r="K196" s="202" t="s">
        <v>1246</v>
      </c>
      <c r="L196" s="433" t="s">
        <v>71</v>
      </c>
      <c r="M196" s="223"/>
      <c r="N196" s="46"/>
      <c r="O196" s="46"/>
      <c r="P196" s="433" t="s">
        <v>2019</v>
      </c>
      <c r="Q196" s="434">
        <v>200000</v>
      </c>
      <c r="R196" s="434">
        <f t="shared" si="35"/>
        <v>30000</v>
      </c>
      <c r="S196" s="202" t="s">
        <v>26</v>
      </c>
      <c r="T196" s="434">
        <v>0</v>
      </c>
      <c r="U196" s="202"/>
      <c r="V196" s="451">
        <f>R196</f>
        <v>30000</v>
      </c>
      <c r="W196" s="434">
        <f t="shared" si="36"/>
        <v>4800</v>
      </c>
      <c r="X196" s="434">
        <f t="shared" si="37"/>
        <v>34800</v>
      </c>
      <c r="Y196" s="202" t="s">
        <v>340</v>
      </c>
      <c r="Z196" s="202" t="s">
        <v>340</v>
      </c>
      <c r="AA196" s="202" t="s">
        <v>340</v>
      </c>
      <c r="AB196" s="202" t="s">
        <v>24</v>
      </c>
      <c r="AC196" s="202"/>
      <c r="AD196" s="202"/>
    </row>
    <row r="197" spans="1:30" s="443" customFormat="1" ht="25.95" customHeight="1" x14ac:dyDescent="0.3">
      <c r="A197" s="449" t="s">
        <v>2024</v>
      </c>
      <c r="B197" s="453" t="s">
        <v>1345</v>
      </c>
      <c r="C197" s="97"/>
      <c r="D197" s="46"/>
      <c r="E197" s="412"/>
      <c r="F197" s="97"/>
      <c r="G197" s="461" t="s">
        <v>2061</v>
      </c>
      <c r="H197" s="449" t="s">
        <v>2062</v>
      </c>
      <c r="I197" s="462">
        <v>45946</v>
      </c>
      <c r="J197" s="449" t="s">
        <v>209</v>
      </c>
      <c r="K197" s="449" t="s">
        <v>1246</v>
      </c>
      <c r="L197" s="463" t="s">
        <v>57</v>
      </c>
      <c r="M197" s="46"/>
      <c r="N197" s="46"/>
      <c r="O197" s="46"/>
      <c r="P197" s="463" t="s">
        <v>25</v>
      </c>
      <c r="Q197" s="464">
        <v>115000</v>
      </c>
      <c r="R197" s="464">
        <f t="shared" si="35"/>
        <v>17250</v>
      </c>
      <c r="S197" s="449" t="s">
        <v>72</v>
      </c>
      <c r="T197" s="464">
        <f>R197*0.6</f>
        <v>10350</v>
      </c>
      <c r="U197" s="449" t="s">
        <v>340</v>
      </c>
      <c r="V197" s="465">
        <f>R197*0.4</f>
        <v>6900</v>
      </c>
      <c r="W197" s="464">
        <f>R197*0.16</f>
        <v>2760</v>
      </c>
      <c r="X197" s="464">
        <f>R197+W197</f>
        <v>20010</v>
      </c>
      <c r="Y197" s="449" t="s">
        <v>340</v>
      </c>
      <c r="Z197" s="449" t="s">
        <v>340</v>
      </c>
      <c r="AA197" s="449" t="s">
        <v>340</v>
      </c>
      <c r="AB197" s="449" t="s">
        <v>46</v>
      </c>
      <c r="AC197" s="449"/>
      <c r="AD197" s="449"/>
    </row>
    <row r="198" spans="1:30" ht="25.95" customHeight="1" x14ac:dyDescent="0.3">
      <c r="A198" s="196" t="s">
        <v>2036</v>
      </c>
      <c r="B198" s="46" t="s">
        <v>2037</v>
      </c>
      <c r="C198" s="140"/>
      <c r="D198" s="46"/>
      <c r="E198" s="412"/>
      <c r="F198" s="321"/>
      <c r="G198" s="414"/>
      <c r="H198" s="414"/>
      <c r="I198" s="411"/>
      <c r="J198" s="196"/>
      <c r="K198" s="196" t="s">
        <v>1246</v>
      </c>
      <c r="L198" s="401" t="s">
        <v>57</v>
      </c>
      <c r="M198" s="223"/>
      <c r="N198" s="46"/>
      <c r="O198" s="207"/>
      <c r="P198" s="401" t="s">
        <v>25</v>
      </c>
      <c r="Q198" s="192">
        <v>0</v>
      </c>
      <c r="R198" s="192">
        <v>0</v>
      </c>
      <c r="S198" s="196" t="s">
        <v>26</v>
      </c>
      <c r="T198" s="192">
        <v>0</v>
      </c>
      <c r="U198" s="419"/>
      <c r="V198" s="419">
        <v>0</v>
      </c>
      <c r="W198" s="192">
        <f>R198*0.16</f>
        <v>0</v>
      </c>
      <c r="X198" s="192">
        <f>R198+W198</f>
        <v>0</v>
      </c>
      <c r="Y198" s="422" t="s">
        <v>761</v>
      </c>
      <c r="Z198" s="422" t="s">
        <v>761</v>
      </c>
      <c r="AA198" s="422" t="s">
        <v>761</v>
      </c>
      <c r="AB198" s="196" t="s">
        <v>24</v>
      </c>
      <c r="AC198" s="196"/>
      <c r="AD198" s="196"/>
    </row>
    <row r="199" spans="1:30" ht="25.95" customHeight="1" x14ac:dyDescent="0.3">
      <c r="A199" s="196" t="s">
        <v>2038</v>
      </c>
      <c r="B199" s="46" t="s">
        <v>2066</v>
      </c>
      <c r="C199" s="140"/>
      <c r="D199" s="46"/>
      <c r="E199" s="412"/>
      <c r="F199" s="321"/>
      <c r="G199" s="414"/>
      <c r="H199" s="414"/>
      <c r="I199" s="411"/>
      <c r="J199" s="196"/>
      <c r="K199" s="196" t="s">
        <v>1246</v>
      </c>
      <c r="L199" s="401" t="s">
        <v>57</v>
      </c>
      <c r="M199" s="223"/>
      <c r="N199" s="46"/>
      <c r="O199" s="207"/>
      <c r="P199" s="401" t="s">
        <v>25</v>
      </c>
      <c r="Q199" s="192">
        <v>0</v>
      </c>
      <c r="R199" s="192">
        <v>0</v>
      </c>
      <c r="S199" s="196" t="s">
        <v>26</v>
      </c>
      <c r="T199" s="192">
        <v>0</v>
      </c>
      <c r="U199" s="419"/>
      <c r="V199" s="419">
        <v>0</v>
      </c>
      <c r="W199" s="192">
        <v>0</v>
      </c>
      <c r="X199" s="192">
        <v>0</v>
      </c>
      <c r="Y199" s="422" t="s">
        <v>761</v>
      </c>
      <c r="Z199" s="422" t="s">
        <v>761</v>
      </c>
      <c r="AA199" s="422" t="s">
        <v>761</v>
      </c>
      <c r="AB199" s="196" t="s">
        <v>24</v>
      </c>
      <c r="AC199" s="196"/>
      <c r="AD199" s="196"/>
    </row>
    <row r="200" spans="1:30" ht="25.95" customHeight="1" x14ac:dyDescent="0.3">
      <c r="A200" s="46" t="s">
        <v>2039</v>
      </c>
      <c r="B200" s="196" t="s">
        <v>2040</v>
      </c>
      <c r="G200" s="414"/>
      <c r="H200" s="414"/>
      <c r="I200" s="411"/>
      <c r="J200" s="196"/>
      <c r="K200" s="196" t="s">
        <v>1246</v>
      </c>
      <c r="L200" s="401" t="s">
        <v>57</v>
      </c>
      <c r="P200" s="401" t="s">
        <v>47</v>
      </c>
      <c r="Q200" s="192">
        <v>0</v>
      </c>
      <c r="R200" s="192">
        <v>0</v>
      </c>
      <c r="S200" s="196" t="s">
        <v>26</v>
      </c>
      <c r="T200" s="192">
        <v>0</v>
      </c>
      <c r="U200" s="419"/>
      <c r="V200" s="419">
        <v>0</v>
      </c>
      <c r="W200" s="192">
        <v>0</v>
      </c>
      <c r="X200" s="192">
        <v>0</v>
      </c>
      <c r="Y200" s="422" t="s">
        <v>761</v>
      </c>
      <c r="Z200" s="422" t="s">
        <v>761</v>
      </c>
      <c r="AA200" s="422" t="s">
        <v>761</v>
      </c>
      <c r="AB200" s="196" t="s">
        <v>24</v>
      </c>
      <c r="AC200" s="196"/>
      <c r="AD200" s="196"/>
    </row>
    <row r="201" spans="1:30" ht="25.95" customHeight="1" x14ac:dyDescent="0.3">
      <c r="A201" s="46" t="s">
        <v>2067</v>
      </c>
      <c r="B201" s="196" t="s">
        <v>2068</v>
      </c>
      <c r="G201" s="414"/>
      <c r="H201" s="414"/>
      <c r="I201" s="411"/>
      <c r="J201" s="196"/>
      <c r="K201" s="196" t="s">
        <v>1246</v>
      </c>
      <c r="L201" s="401" t="s">
        <v>57</v>
      </c>
      <c r="P201" s="401" t="s">
        <v>47</v>
      </c>
      <c r="Q201" s="192">
        <v>0</v>
      </c>
      <c r="R201" s="192">
        <v>0</v>
      </c>
      <c r="S201" s="196" t="s">
        <v>26</v>
      </c>
      <c r="T201" s="192">
        <v>0</v>
      </c>
      <c r="U201" s="419"/>
      <c r="V201" s="419">
        <v>0</v>
      </c>
      <c r="W201" s="192">
        <v>0</v>
      </c>
      <c r="X201" s="192">
        <v>0</v>
      </c>
      <c r="Y201" s="422" t="s">
        <v>761</v>
      </c>
      <c r="Z201" s="422" t="s">
        <v>761</v>
      </c>
      <c r="AA201" s="422" t="s">
        <v>761</v>
      </c>
      <c r="AB201" s="196" t="s">
        <v>24</v>
      </c>
      <c r="AC201" s="196"/>
      <c r="AD201" s="196"/>
    </row>
    <row r="202" spans="1:30" ht="25.95" customHeight="1" x14ac:dyDescent="0.3">
      <c r="A202" s="46"/>
      <c r="B202" s="196"/>
      <c r="G202" s="414"/>
      <c r="H202" s="414"/>
      <c r="I202" s="411"/>
      <c r="J202" s="196"/>
      <c r="K202" s="196" t="s">
        <v>1246</v>
      </c>
      <c r="L202" s="401" t="s">
        <v>57</v>
      </c>
      <c r="P202" s="401"/>
      <c r="Q202" s="192"/>
      <c r="R202" s="192"/>
      <c r="S202" s="196"/>
      <c r="T202" s="192"/>
      <c r="U202" s="419"/>
      <c r="V202" s="419"/>
      <c r="W202" s="192"/>
      <c r="X202" s="192"/>
      <c r="Y202" s="422" t="s">
        <v>761</v>
      </c>
      <c r="Z202" s="422" t="s">
        <v>761</v>
      </c>
      <c r="AA202" s="422" t="s">
        <v>761</v>
      </c>
      <c r="AB202" s="196"/>
      <c r="AC202" s="196"/>
      <c r="AD202" s="196"/>
    </row>
    <row r="203" spans="1:30" ht="25.95" customHeight="1" x14ac:dyDescent="0.3">
      <c r="A203" s="46" t="s">
        <v>2069</v>
      </c>
      <c r="B203" s="196" t="s">
        <v>2070</v>
      </c>
      <c r="G203" s="414"/>
      <c r="H203" s="414"/>
      <c r="I203" s="411"/>
      <c r="J203" s="196" t="s">
        <v>209</v>
      </c>
      <c r="K203" s="196" t="s">
        <v>1246</v>
      </c>
      <c r="L203" s="401" t="s">
        <v>57</v>
      </c>
      <c r="P203" s="401" t="s">
        <v>25</v>
      </c>
      <c r="Q203" s="192">
        <v>0</v>
      </c>
      <c r="R203" s="192">
        <v>0</v>
      </c>
      <c r="S203" s="196" t="s">
        <v>2071</v>
      </c>
      <c r="T203" s="192">
        <v>0</v>
      </c>
      <c r="U203" s="419" t="s">
        <v>340</v>
      </c>
      <c r="V203" s="419">
        <v>0</v>
      </c>
      <c r="W203" s="192">
        <v>0</v>
      </c>
      <c r="X203" s="192">
        <v>0</v>
      </c>
      <c r="Y203" s="422" t="s">
        <v>340</v>
      </c>
      <c r="Z203" s="422" t="s">
        <v>340</v>
      </c>
      <c r="AA203" s="422" t="s">
        <v>340</v>
      </c>
      <c r="AB203" s="196" t="s">
        <v>46</v>
      </c>
      <c r="AC203" s="196"/>
      <c r="AD203" s="196"/>
    </row>
    <row r="204" spans="1:30" ht="25.95" customHeight="1" x14ac:dyDescent="0.3">
      <c r="A204" s="418"/>
      <c r="B204" s="418"/>
      <c r="C204" s="418"/>
      <c r="D204" s="418"/>
      <c r="F204" s="418"/>
      <c r="Q204" s="71">
        <f>SUM(Q2:Q198)</f>
        <v>39591362.251999997</v>
      </c>
      <c r="R204" s="71">
        <f>SUM(R2:R198)</f>
        <v>4872302.65075</v>
      </c>
      <c r="S204" s="71">
        <f t="shared" ref="S204" si="38">SUM(S2:S196)</f>
        <v>0</v>
      </c>
      <c r="T204" s="71">
        <f>SUM(T2:T197)</f>
        <v>1157399.0908763497</v>
      </c>
      <c r="U204" s="71"/>
      <c r="V204" s="71">
        <f>SUM(V2:V197)</f>
        <v>3559283.5598736489</v>
      </c>
      <c r="W204" s="71">
        <f>SUM(W2:W198)</f>
        <v>754548.43052000029</v>
      </c>
      <c r="X204" s="71">
        <f>SUM(X2:X198)</f>
        <v>5122718.1411936497</v>
      </c>
    </row>
    <row r="207" spans="1:30" ht="25.95" customHeight="1" x14ac:dyDescent="0.3">
      <c r="U207" s="426"/>
    </row>
    <row r="208" spans="1:30" ht="25.95" customHeight="1" x14ac:dyDescent="0.3">
      <c r="U208" s="426"/>
      <c r="V208" s="319"/>
    </row>
    <row r="209" spans="17:22" ht="25.95" customHeight="1" x14ac:dyDescent="0.3">
      <c r="Q209" s="406" t="s">
        <v>2022</v>
      </c>
      <c r="R209" s="406" t="s">
        <v>9</v>
      </c>
      <c r="S209" s="406" t="s">
        <v>2020</v>
      </c>
      <c r="T209" s="406" t="s">
        <v>2021</v>
      </c>
      <c r="U209" s="176"/>
      <c r="V209" s="426"/>
    </row>
    <row r="210" spans="17:22" ht="25.95" customHeight="1" x14ac:dyDescent="0.3">
      <c r="Q210" s="438" t="s">
        <v>2025</v>
      </c>
      <c r="R210" s="34">
        <f>SUBTOTAL(9,R2:R197)</f>
        <v>1147637.9726499999</v>
      </c>
      <c r="S210" s="437">
        <f>SUBTOTAL(9,T2:T205)</f>
        <v>1363148.2339763497</v>
      </c>
      <c r="T210" s="34">
        <f>SUBTOTAL(9,V2:V204)</f>
        <v>4345552.3894236488</v>
      </c>
      <c r="U210" s="319"/>
      <c r="V210" s="420"/>
    </row>
    <row r="211" spans="17:22" ht="25.95" customHeight="1" x14ac:dyDescent="0.3">
      <c r="Q211" s="405" t="s">
        <v>1798</v>
      </c>
      <c r="R211" s="34">
        <f>R210*0.16</f>
        <v>183622.07562399999</v>
      </c>
      <c r="S211" s="34">
        <f>S210*0.16</f>
        <v>218103.71743621596</v>
      </c>
      <c r="T211" s="34">
        <f>T210*0.16</f>
        <v>695288.38230778382</v>
      </c>
      <c r="U211" s="319"/>
      <c r="V211" s="426"/>
    </row>
    <row r="212" spans="17:22" ht="25.95" customHeight="1" x14ac:dyDescent="0.3">
      <c r="Q212" s="405" t="s">
        <v>9</v>
      </c>
      <c r="R212" s="2">
        <f>R210+R211</f>
        <v>1331260.0482739999</v>
      </c>
      <c r="S212" s="2">
        <f>S210+S211</f>
        <v>1581251.9514125655</v>
      </c>
      <c r="T212" s="2">
        <f>T210+T211</f>
        <v>5040840.7717314325</v>
      </c>
    </row>
    <row r="218" spans="17:22" ht="25.95" customHeight="1" x14ac:dyDescent="0.3">
      <c r="R218" s="436">
        <f>S210/20</f>
        <v>68157.411698817479</v>
      </c>
    </row>
  </sheetData>
  <sheetProtection formatCells="0" formatColumns="0" formatRows="0" insertColumns="0" insertRows="0" insertHyperlinks="0" deleteColumns="0" deleteRows="0" sort="0" autoFilter="0" pivotTables="0"/>
  <autoFilter ref="A1:AD204" xr:uid="{94CD39FA-3E57-402D-BF52-5076B5EC55FC}">
    <filterColumn colId="28">
      <filters blank="1"/>
    </filterColumn>
  </autoFilter>
  <phoneticPr fontId="6" type="noConversion"/>
  <pageMargins left="0.7" right="0.7" top="0.75" bottom="0.75" header="0.3" footer="0.3"/>
  <pageSetup paperSize="9" scale="93" orientation="portrait" r:id="rId1"/>
  <colBreaks count="2" manualBreakCount="2">
    <brk id="9" max="309" man="1"/>
    <brk id="16" max="1048575" man="1"/>
  </col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18035-B66E-48F1-9CDF-554E3F5D07C8}">
  <dimension ref="A1:T36"/>
  <sheetViews>
    <sheetView topLeftCell="B13" workbookViewId="0"/>
  </sheetViews>
  <sheetFormatPr baseColWidth="10" defaultColWidth="11.44140625" defaultRowHeight="14.4" x14ac:dyDescent="0.3"/>
  <cols>
    <col min="1" max="1" width="32.88671875" bestFit="1" customWidth="1"/>
    <col min="2" max="2" width="27.109375" bestFit="1" customWidth="1"/>
    <col min="3" max="3" width="17.44140625" bestFit="1" customWidth="1"/>
    <col min="4" max="4" width="16.5546875" bestFit="1" customWidth="1"/>
    <col min="5" max="5" width="14.5546875" bestFit="1" customWidth="1"/>
    <col min="6" max="6" width="26.44140625" bestFit="1" customWidth="1"/>
    <col min="7" max="7" width="19.88671875" bestFit="1" customWidth="1"/>
    <col min="9" max="9" width="15.44140625" bestFit="1" customWidth="1"/>
    <col min="10" max="10" width="14.5546875" bestFit="1" customWidth="1"/>
    <col min="11" max="11" width="21.44140625" bestFit="1" customWidth="1"/>
    <col min="12" max="12" width="17.44140625" bestFit="1" customWidth="1"/>
    <col min="13" max="13" width="27.44140625" bestFit="1" customWidth="1"/>
    <col min="14" max="14" width="19.109375" bestFit="1" customWidth="1"/>
    <col min="15" max="15" width="28.109375" bestFit="1" customWidth="1"/>
    <col min="16" max="16" width="20.5546875" bestFit="1" customWidth="1"/>
    <col min="17" max="17" width="23" bestFit="1" customWidth="1"/>
    <col min="18" max="18" width="14" bestFit="1" customWidth="1"/>
    <col min="19" max="19" width="19" bestFit="1" customWidth="1"/>
    <col min="20" max="20" width="13" bestFit="1" customWidth="1"/>
  </cols>
  <sheetData>
    <row r="1" spans="1:20" x14ac:dyDescent="0.3">
      <c r="A1" s="180" t="s">
        <v>377</v>
      </c>
      <c r="B1" s="180" t="s">
        <v>378</v>
      </c>
      <c r="C1" s="180" t="s">
        <v>2</v>
      </c>
      <c r="D1" s="180" t="s">
        <v>3</v>
      </c>
      <c r="E1" s="180" t="s">
        <v>4</v>
      </c>
      <c r="F1" s="180" t="s">
        <v>5</v>
      </c>
      <c r="G1" s="181" t="s">
        <v>6</v>
      </c>
      <c r="H1" s="182" t="s">
        <v>7</v>
      </c>
      <c r="I1" s="181" t="s">
        <v>8</v>
      </c>
      <c r="J1" s="181" t="s">
        <v>9</v>
      </c>
      <c r="K1" s="181" t="s">
        <v>10</v>
      </c>
      <c r="L1" s="181" t="s">
        <v>380</v>
      </c>
      <c r="M1" s="181" t="s">
        <v>12</v>
      </c>
      <c r="N1" s="181" t="s">
        <v>13</v>
      </c>
      <c r="O1" s="181" t="s">
        <v>14</v>
      </c>
      <c r="P1" s="181" t="s">
        <v>15</v>
      </c>
      <c r="Q1" s="181" t="s">
        <v>381</v>
      </c>
      <c r="R1" s="181" t="s">
        <v>382</v>
      </c>
      <c r="S1" s="181" t="s">
        <v>18</v>
      </c>
      <c r="T1" s="181" t="s">
        <v>19</v>
      </c>
    </row>
    <row r="2" spans="1:20" x14ac:dyDescent="0.3">
      <c r="A2" s="183" t="s">
        <v>424</v>
      </c>
      <c r="B2" s="184" t="s">
        <v>425</v>
      </c>
      <c r="C2" s="185">
        <v>1031201</v>
      </c>
      <c r="D2" s="186">
        <v>44965</v>
      </c>
      <c r="E2" s="187" t="s">
        <v>54</v>
      </c>
      <c r="F2" s="183" t="s">
        <v>71</v>
      </c>
      <c r="G2" s="183" t="s">
        <v>118</v>
      </c>
      <c r="H2" s="183" t="s">
        <v>25</v>
      </c>
      <c r="I2" s="188">
        <v>253323.42</v>
      </c>
      <c r="J2" s="189">
        <v>45598.215600000003</v>
      </c>
      <c r="K2" s="188" t="s">
        <v>79</v>
      </c>
      <c r="L2" s="188">
        <v>22799.107800000002</v>
      </c>
      <c r="M2" s="188"/>
      <c r="N2" s="188">
        <v>22799.107800000002</v>
      </c>
      <c r="O2" s="190" t="s">
        <v>27</v>
      </c>
      <c r="P2" s="190" t="s">
        <v>27</v>
      </c>
      <c r="Q2" s="191">
        <v>44998</v>
      </c>
      <c r="R2" s="183"/>
      <c r="S2" s="184" t="s">
        <v>28</v>
      </c>
      <c r="T2" s="183"/>
    </row>
    <row r="3" spans="1:20" x14ac:dyDescent="0.3">
      <c r="A3" s="183" t="s">
        <v>1381</v>
      </c>
      <c r="B3" s="184" t="s">
        <v>1382</v>
      </c>
      <c r="C3" s="183"/>
      <c r="D3" s="187" t="s">
        <v>1383</v>
      </c>
      <c r="E3" s="183"/>
      <c r="F3" s="183" t="s">
        <v>71</v>
      </c>
      <c r="G3" s="183" t="s">
        <v>118</v>
      </c>
      <c r="H3" s="188" t="s">
        <v>25</v>
      </c>
      <c r="I3" s="188">
        <v>0</v>
      </c>
      <c r="J3" s="183">
        <v>0</v>
      </c>
      <c r="K3" s="188" t="s">
        <v>79</v>
      </c>
      <c r="L3" s="188">
        <v>0</v>
      </c>
      <c r="M3" s="188"/>
      <c r="N3" s="192">
        <v>0</v>
      </c>
      <c r="O3" s="183" t="s">
        <v>765</v>
      </c>
      <c r="P3" s="183"/>
      <c r="Q3" s="183"/>
      <c r="R3" s="184"/>
      <c r="S3" s="183"/>
      <c r="T3" s="183"/>
    </row>
    <row r="4" spans="1:20" x14ac:dyDescent="0.3">
      <c r="A4" s="183" t="s">
        <v>1384</v>
      </c>
      <c r="B4" s="184" t="s">
        <v>1385</v>
      </c>
      <c r="C4" s="183"/>
      <c r="D4" s="187" t="s">
        <v>1386</v>
      </c>
      <c r="E4" s="183"/>
      <c r="F4" s="183" t="s">
        <v>71</v>
      </c>
      <c r="G4" s="183" t="s">
        <v>46</v>
      </c>
      <c r="H4" s="188" t="s">
        <v>25</v>
      </c>
      <c r="I4" s="188" t="s">
        <v>335</v>
      </c>
      <c r="J4" s="188" t="s">
        <v>335</v>
      </c>
      <c r="K4" s="188" t="s">
        <v>72</v>
      </c>
      <c r="L4" s="188">
        <v>0</v>
      </c>
      <c r="M4" s="188"/>
      <c r="N4" s="192">
        <v>0</v>
      </c>
      <c r="O4" s="183" t="s">
        <v>765</v>
      </c>
      <c r="P4" s="183"/>
      <c r="Q4" s="183"/>
      <c r="R4" s="184"/>
      <c r="S4" s="183"/>
      <c r="T4" s="183"/>
    </row>
    <row r="5" spans="1:20" x14ac:dyDescent="0.3">
      <c r="A5" s="183" t="s">
        <v>1384</v>
      </c>
      <c r="B5" s="184" t="s">
        <v>1387</v>
      </c>
      <c r="C5" s="183"/>
      <c r="D5" s="187" t="s">
        <v>1386</v>
      </c>
      <c r="E5" s="183"/>
      <c r="F5" s="183" t="s">
        <v>71</v>
      </c>
      <c r="G5" s="183" t="s">
        <v>46</v>
      </c>
      <c r="H5" s="188" t="s">
        <v>25</v>
      </c>
      <c r="I5" s="188" t="s">
        <v>335</v>
      </c>
      <c r="J5" s="188" t="s">
        <v>335</v>
      </c>
      <c r="K5" s="188" t="s">
        <v>72</v>
      </c>
      <c r="L5" s="188">
        <v>0</v>
      </c>
      <c r="M5" s="188"/>
      <c r="N5" s="192">
        <v>0</v>
      </c>
      <c r="O5" s="183" t="s">
        <v>765</v>
      </c>
      <c r="P5" s="183"/>
      <c r="Q5" s="183"/>
      <c r="R5" s="184"/>
      <c r="S5" s="183"/>
      <c r="T5" s="183"/>
    </row>
    <row r="6" spans="1:20" x14ac:dyDescent="0.3">
      <c r="A6" s="183" t="s">
        <v>487</v>
      </c>
      <c r="B6" s="184" t="s">
        <v>1388</v>
      </c>
      <c r="C6" s="183"/>
      <c r="D6" s="187" t="s">
        <v>1389</v>
      </c>
      <c r="E6" s="183"/>
      <c r="F6" s="183" t="s">
        <v>71</v>
      </c>
      <c r="G6" s="183" t="s">
        <v>46</v>
      </c>
      <c r="H6" s="188" t="s">
        <v>25</v>
      </c>
      <c r="I6" s="188">
        <v>275000</v>
      </c>
      <c r="J6" s="188">
        <v>41250</v>
      </c>
      <c r="K6" s="188" t="s">
        <v>72</v>
      </c>
      <c r="L6" s="188">
        <v>33000</v>
      </c>
      <c r="M6" s="188"/>
      <c r="N6" s="192">
        <v>8250</v>
      </c>
      <c r="O6" s="183" t="s">
        <v>765</v>
      </c>
      <c r="P6" s="183"/>
      <c r="Q6" s="183"/>
      <c r="R6" s="184"/>
      <c r="S6" s="183"/>
      <c r="T6" s="183"/>
    </row>
    <row r="7" spans="1:20" x14ac:dyDescent="0.3">
      <c r="A7" s="183" t="s">
        <v>429</v>
      </c>
      <c r="B7" s="184" t="s">
        <v>430</v>
      </c>
      <c r="C7" s="185">
        <v>1014501</v>
      </c>
      <c r="D7" s="186">
        <v>44944</v>
      </c>
      <c r="E7" s="185" t="s">
        <v>44</v>
      </c>
      <c r="F7" s="183" t="s">
        <v>71</v>
      </c>
      <c r="G7" s="183" t="s">
        <v>24</v>
      </c>
      <c r="H7" s="188" t="s">
        <v>25</v>
      </c>
      <c r="I7" s="188">
        <v>378903.06</v>
      </c>
      <c r="J7" s="188">
        <v>56835.458999999995</v>
      </c>
      <c r="K7" s="188" t="s">
        <v>26</v>
      </c>
      <c r="L7" s="188">
        <v>0</v>
      </c>
      <c r="M7" s="188"/>
      <c r="N7" s="192">
        <v>56835.458999999995</v>
      </c>
      <c r="O7" s="190" t="s">
        <v>27</v>
      </c>
      <c r="P7" s="190" t="s">
        <v>27</v>
      </c>
      <c r="Q7" s="191">
        <v>44957</v>
      </c>
      <c r="R7" s="183" t="s">
        <v>431</v>
      </c>
      <c r="S7" s="183" t="s">
        <v>54</v>
      </c>
      <c r="T7" s="183"/>
    </row>
    <row r="8" spans="1:20" x14ac:dyDescent="0.3">
      <c r="A8" s="183" t="s">
        <v>190</v>
      </c>
      <c r="B8" s="184" t="s">
        <v>1390</v>
      </c>
      <c r="C8" s="183"/>
      <c r="D8" s="187"/>
      <c r="E8" s="183"/>
      <c r="F8" s="183" t="s">
        <v>71</v>
      </c>
      <c r="G8" s="183" t="s">
        <v>24</v>
      </c>
      <c r="H8" s="188" t="s">
        <v>25</v>
      </c>
      <c r="I8" s="188">
        <v>0</v>
      </c>
      <c r="J8" s="183">
        <v>0</v>
      </c>
      <c r="K8" s="188" t="s">
        <v>26</v>
      </c>
      <c r="L8" s="188">
        <v>0</v>
      </c>
      <c r="M8" s="188"/>
      <c r="N8" s="192">
        <v>0</v>
      </c>
      <c r="O8" s="183" t="s">
        <v>765</v>
      </c>
      <c r="P8" s="183"/>
      <c r="Q8" s="183"/>
      <c r="R8" s="184"/>
      <c r="S8" s="183"/>
      <c r="T8" s="183"/>
    </row>
    <row r="9" spans="1:20" x14ac:dyDescent="0.3">
      <c r="A9" s="183" t="s">
        <v>604</v>
      </c>
      <c r="B9" s="184" t="s">
        <v>605</v>
      </c>
      <c r="C9" s="183"/>
      <c r="D9" s="187"/>
      <c r="E9" s="183"/>
      <c r="F9" s="183" t="s">
        <v>71</v>
      </c>
      <c r="G9" s="183" t="s">
        <v>24</v>
      </c>
      <c r="H9" s="188" t="s">
        <v>25</v>
      </c>
      <c r="I9" s="188">
        <v>0</v>
      </c>
      <c r="J9" s="183">
        <v>0</v>
      </c>
      <c r="K9" s="188" t="s">
        <v>26</v>
      </c>
      <c r="L9" s="188">
        <v>0</v>
      </c>
      <c r="M9" s="188"/>
      <c r="N9" s="192">
        <v>0</v>
      </c>
      <c r="O9" s="183" t="s">
        <v>765</v>
      </c>
      <c r="P9" s="183"/>
      <c r="Q9" s="183"/>
      <c r="R9" s="184"/>
      <c r="S9" s="183"/>
      <c r="T9" s="183"/>
    </row>
    <row r="10" spans="1:20" x14ac:dyDescent="0.3">
      <c r="A10" s="183" t="s">
        <v>601</v>
      </c>
      <c r="B10" s="184" t="s">
        <v>1391</v>
      </c>
      <c r="C10" s="183"/>
      <c r="D10" s="187"/>
      <c r="E10" s="183"/>
      <c r="F10" s="183" t="s">
        <v>71</v>
      </c>
      <c r="G10" s="183" t="s">
        <v>24</v>
      </c>
      <c r="H10" s="188" t="s">
        <v>25</v>
      </c>
      <c r="I10" s="188">
        <v>0</v>
      </c>
      <c r="J10" s="183">
        <v>0</v>
      </c>
      <c r="K10" s="188" t="s">
        <v>26</v>
      </c>
      <c r="L10" s="188">
        <v>0</v>
      </c>
      <c r="M10" s="188"/>
      <c r="N10" s="192">
        <v>0</v>
      </c>
      <c r="O10" s="183" t="s">
        <v>765</v>
      </c>
      <c r="P10" s="183"/>
      <c r="Q10" s="183"/>
      <c r="R10" s="184"/>
      <c r="S10" s="183"/>
      <c r="T10" s="183"/>
    </row>
    <row r="11" spans="1:20" x14ac:dyDescent="0.3">
      <c r="A11" s="183" t="s">
        <v>1381</v>
      </c>
      <c r="B11" s="184" t="s">
        <v>1392</v>
      </c>
      <c r="C11" s="183"/>
      <c r="D11" s="187"/>
      <c r="E11" s="183"/>
      <c r="F11" s="183" t="s">
        <v>71</v>
      </c>
      <c r="G11" s="183" t="s">
        <v>118</v>
      </c>
      <c r="H11" s="188" t="s">
        <v>25</v>
      </c>
      <c r="I11" s="188">
        <v>0</v>
      </c>
      <c r="J11" s="183">
        <v>0</v>
      </c>
      <c r="K11" s="188" t="s">
        <v>79</v>
      </c>
      <c r="L11" s="188">
        <v>0</v>
      </c>
      <c r="M11" s="188"/>
      <c r="N11" s="192">
        <v>0</v>
      </c>
      <c r="O11" s="183" t="s">
        <v>765</v>
      </c>
      <c r="P11" s="183"/>
      <c r="Q11" s="183"/>
      <c r="R11" s="184"/>
      <c r="S11" s="183"/>
      <c r="T11" s="183"/>
    </row>
    <row r="12" spans="1:20" x14ac:dyDescent="0.3">
      <c r="A12" s="183" t="s">
        <v>391</v>
      </c>
      <c r="B12" s="184" t="s">
        <v>392</v>
      </c>
      <c r="C12" s="193" t="s">
        <v>393</v>
      </c>
      <c r="D12" s="194" t="s">
        <v>394</v>
      </c>
      <c r="E12" s="183" t="s">
        <v>395</v>
      </c>
      <c r="F12" s="183" t="s">
        <v>71</v>
      </c>
      <c r="G12" s="183" t="s">
        <v>118</v>
      </c>
      <c r="H12" s="188" t="s">
        <v>25</v>
      </c>
      <c r="I12" s="188">
        <v>257518.66250000001</v>
      </c>
      <c r="J12" s="188">
        <v>38627.799375000002</v>
      </c>
      <c r="K12" s="188" t="s">
        <v>79</v>
      </c>
      <c r="L12" s="188">
        <v>19313.899687500001</v>
      </c>
      <c r="M12" s="188" t="s">
        <v>340</v>
      </c>
      <c r="N12" s="192">
        <v>19313.899687500001</v>
      </c>
      <c r="O12" s="190" t="s">
        <v>27</v>
      </c>
      <c r="P12" s="190" t="s">
        <v>27</v>
      </c>
      <c r="Q12" s="191">
        <v>44926</v>
      </c>
      <c r="R12" s="3" t="s">
        <v>367</v>
      </c>
      <c r="S12" s="183" t="s">
        <v>44</v>
      </c>
      <c r="T12" s="183"/>
    </row>
    <row r="13" spans="1:20" x14ac:dyDescent="0.3">
      <c r="A13" s="183" t="s">
        <v>396</v>
      </c>
      <c r="B13" s="184" t="s">
        <v>1393</v>
      </c>
      <c r="C13" s="195" t="s">
        <v>398</v>
      </c>
      <c r="D13" s="194" t="s">
        <v>394</v>
      </c>
      <c r="E13" s="183" t="s">
        <v>395</v>
      </c>
      <c r="F13" s="183" t="s">
        <v>71</v>
      </c>
      <c r="G13" s="183" t="s">
        <v>118</v>
      </c>
      <c r="H13" s="188" t="s">
        <v>25</v>
      </c>
      <c r="I13" s="188">
        <v>273516.03000000003</v>
      </c>
      <c r="J13" s="188">
        <v>49232.885400000006</v>
      </c>
      <c r="K13" s="188" t="s">
        <v>79</v>
      </c>
      <c r="L13" s="188">
        <v>24616.442700000003</v>
      </c>
      <c r="M13" s="188"/>
      <c r="N13" s="192">
        <v>24616.442700000003</v>
      </c>
      <c r="O13" s="190" t="s">
        <v>27</v>
      </c>
      <c r="P13" s="190" t="s">
        <v>27</v>
      </c>
      <c r="Q13" s="191">
        <v>44926</v>
      </c>
      <c r="R13" s="183" t="s">
        <v>367</v>
      </c>
      <c r="S13" s="183" t="s">
        <v>44</v>
      </c>
      <c r="T13" s="183"/>
    </row>
    <row r="14" spans="1:20" x14ac:dyDescent="0.3">
      <c r="A14" s="183" t="s">
        <v>399</v>
      </c>
      <c r="B14" s="184" t="s">
        <v>400</v>
      </c>
      <c r="C14" s="195" t="s">
        <v>401</v>
      </c>
      <c r="D14" s="194" t="s">
        <v>402</v>
      </c>
      <c r="E14" s="183" t="s">
        <v>395</v>
      </c>
      <c r="F14" s="183" t="s">
        <v>71</v>
      </c>
      <c r="G14" s="183" t="s">
        <v>118</v>
      </c>
      <c r="H14" s="188" t="s">
        <v>25</v>
      </c>
      <c r="I14" s="188">
        <v>273516.03000000003</v>
      </c>
      <c r="J14" s="188">
        <v>49232.885400000006</v>
      </c>
      <c r="K14" s="188" t="s">
        <v>79</v>
      </c>
      <c r="L14" s="188">
        <v>24616.442700000003</v>
      </c>
      <c r="M14" s="188"/>
      <c r="N14" s="192">
        <v>24616.442700000003</v>
      </c>
      <c r="O14" s="190" t="s">
        <v>27</v>
      </c>
      <c r="P14" s="190" t="s">
        <v>27</v>
      </c>
      <c r="Q14" s="191">
        <v>44926</v>
      </c>
      <c r="R14" s="183" t="s">
        <v>367</v>
      </c>
      <c r="S14" s="183" t="s">
        <v>44</v>
      </c>
      <c r="T14" s="183"/>
    </row>
    <row r="15" spans="1:20" x14ac:dyDescent="0.3">
      <c r="A15" s="183" t="s">
        <v>249</v>
      </c>
      <c r="B15" s="184" t="s">
        <v>404</v>
      </c>
      <c r="C15" s="195" t="s">
        <v>405</v>
      </c>
      <c r="D15" s="194" t="s">
        <v>402</v>
      </c>
      <c r="E15" s="183" t="s">
        <v>395</v>
      </c>
      <c r="F15" s="183" t="s">
        <v>71</v>
      </c>
      <c r="G15" s="183" t="s">
        <v>118</v>
      </c>
      <c r="H15" s="188" t="s">
        <v>25</v>
      </c>
      <c r="I15" s="188">
        <v>273516.03000000003</v>
      </c>
      <c r="J15" s="188">
        <v>49232.885400000006</v>
      </c>
      <c r="K15" s="188" t="s">
        <v>79</v>
      </c>
      <c r="L15" s="188">
        <v>24616.442700000003</v>
      </c>
      <c r="M15" s="188"/>
      <c r="N15" s="192">
        <v>24616.442700000003</v>
      </c>
      <c r="O15" s="190" t="s">
        <v>27</v>
      </c>
      <c r="P15" s="190" t="s">
        <v>27</v>
      </c>
      <c r="Q15" s="191">
        <v>44926</v>
      </c>
      <c r="R15" s="183" t="s">
        <v>367</v>
      </c>
      <c r="S15" s="183" t="s">
        <v>44</v>
      </c>
      <c r="T15" s="183"/>
    </row>
    <row r="16" spans="1:20" x14ac:dyDescent="0.3">
      <c r="A16" s="196" t="s">
        <v>445</v>
      </c>
      <c r="B16" s="184" t="s">
        <v>446</v>
      </c>
      <c r="C16" s="185">
        <v>1061501</v>
      </c>
      <c r="D16" s="186">
        <v>44999</v>
      </c>
      <c r="E16" s="183" t="s">
        <v>28</v>
      </c>
      <c r="F16" s="183" t="s">
        <v>71</v>
      </c>
      <c r="G16" s="183" t="s">
        <v>24</v>
      </c>
      <c r="H16" s="188" t="s">
        <v>25</v>
      </c>
      <c r="I16" s="188">
        <v>281504.77</v>
      </c>
      <c r="J16" s="188">
        <v>42225.715499999998</v>
      </c>
      <c r="K16" s="188" t="s">
        <v>26</v>
      </c>
      <c r="L16" s="188">
        <v>0</v>
      </c>
      <c r="M16" s="188"/>
      <c r="N16" s="192">
        <v>42225.715499999998</v>
      </c>
      <c r="O16" s="190" t="s">
        <v>27</v>
      </c>
      <c r="P16" s="190" t="s">
        <v>27</v>
      </c>
      <c r="Q16" s="191">
        <v>45007</v>
      </c>
      <c r="R16" s="183" t="s">
        <v>449</v>
      </c>
      <c r="S16" s="183" t="s">
        <v>28</v>
      </c>
      <c r="T16" s="183"/>
    </row>
    <row r="17" spans="1:20" x14ac:dyDescent="0.3">
      <c r="A17" s="183" t="s">
        <v>414</v>
      </c>
      <c r="B17" s="184" t="s">
        <v>415</v>
      </c>
      <c r="C17" s="185">
        <v>1074401</v>
      </c>
      <c r="D17" s="186">
        <v>45013</v>
      </c>
      <c r="E17" s="183" t="s">
        <v>99</v>
      </c>
      <c r="F17" s="183" t="s">
        <v>71</v>
      </c>
      <c r="G17" s="183" t="s">
        <v>118</v>
      </c>
      <c r="H17" s="188" t="s">
        <v>25</v>
      </c>
      <c r="I17" s="188">
        <v>267900</v>
      </c>
      <c r="J17" s="188">
        <v>48222</v>
      </c>
      <c r="K17" s="188" t="s">
        <v>79</v>
      </c>
      <c r="L17" s="188">
        <v>24111</v>
      </c>
      <c r="M17" s="188"/>
      <c r="N17" s="192">
        <v>24111</v>
      </c>
      <c r="O17" s="197" t="s">
        <v>340</v>
      </c>
      <c r="P17" s="197" t="s">
        <v>340</v>
      </c>
      <c r="Q17" s="183"/>
      <c r="R17" s="184"/>
      <c r="S17" s="183"/>
      <c r="T17" s="183"/>
    </row>
    <row r="18" spans="1:20" x14ac:dyDescent="0.3">
      <c r="A18" s="196" t="s">
        <v>481</v>
      </c>
      <c r="B18" s="184" t="s">
        <v>482</v>
      </c>
      <c r="C18" s="185">
        <v>1074501</v>
      </c>
      <c r="D18" s="186">
        <v>45013</v>
      </c>
      <c r="E18" s="183" t="s">
        <v>28</v>
      </c>
      <c r="F18" s="183" t="s">
        <v>71</v>
      </c>
      <c r="G18" s="183" t="s">
        <v>118</v>
      </c>
      <c r="H18" s="188" t="s">
        <v>25</v>
      </c>
      <c r="I18" s="188">
        <v>256436.8</v>
      </c>
      <c r="J18" s="188">
        <v>46158.623999999996</v>
      </c>
      <c r="K18" s="188" t="s">
        <v>79</v>
      </c>
      <c r="L18" s="188">
        <v>23079.311999999998</v>
      </c>
      <c r="M18" s="183"/>
      <c r="N18" s="192">
        <v>23079.311999999998</v>
      </c>
      <c r="O18" s="190" t="s">
        <v>27</v>
      </c>
      <c r="P18" s="190" t="s">
        <v>27</v>
      </c>
      <c r="Q18" s="183"/>
      <c r="R18" s="184"/>
      <c r="S18" s="183" t="s">
        <v>99</v>
      </c>
      <c r="T18" s="183"/>
    </row>
    <row r="19" spans="1:20" x14ac:dyDescent="0.3">
      <c r="A19" s="183" t="s">
        <v>455</v>
      </c>
      <c r="B19" s="184" t="s">
        <v>456</v>
      </c>
      <c r="C19" s="185">
        <v>1037401</v>
      </c>
      <c r="D19" s="186">
        <v>44974</v>
      </c>
      <c r="E19" s="183" t="s">
        <v>54</v>
      </c>
      <c r="F19" s="183" t="s">
        <v>71</v>
      </c>
      <c r="G19" s="183" t="s">
        <v>24</v>
      </c>
      <c r="H19" s="188" t="s">
        <v>25</v>
      </c>
      <c r="I19" s="188">
        <v>263981.15000000002</v>
      </c>
      <c r="J19" s="188">
        <v>39597.172500000001</v>
      </c>
      <c r="K19" s="188" t="s">
        <v>26</v>
      </c>
      <c r="L19" s="188">
        <v>0</v>
      </c>
      <c r="M19" s="188"/>
      <c r="N19" s="192">
        <v>39597.172500000001</v>
      </c>
      <c r="O19" s="190" t="s">
        <v>27</v>
      </c>
      <c r="P19" s="190" t="s">
        <v>27</v>
      </c>
      <c r="Q19" s="191">
        <v>44985</v>
      </c>
      <c r="R19" s="183" t="s">
        <v>457</v>
      </c>
      <c r="S19" s="183" t="s">
        <v>28</v>
      </c>
      <c r="T19" s="183"/>
    </row>
    <row r="20" spans="1:20" x14ac:dyDescent="0.3">
      <c r="A20" s="183" t="s">
        <v>481</v>
      </c>
      <c r="B20" s="184" t="s">
        <v>858</v>
      </c>
      <c r="C20" s="183"/>
      <c r="D20" s="187"/>
      <c r="E20" s="183"/>
      <c r="F20" s="183" t="s">
        <v>71</v>
      </c>
      <c r="G20" s="183" t="s">
        <v>118</v>
      </c>
      <c r="H20" s="188" t="s">
        <v>25</v>
      </c>
      <c r="I20" s="188">
        <v>0</v>
      </c>
      <c r="J20" s="183">
        <v>0</v>
      </c>
      <c r="K20" s="188" t="s">
        <v>79</v>
      </c>
      <c r="L20" s="188">
        <v>0</v>
      </c>
      <c r="M20" s="188"/>
      <c r="N20" s="192">
        <v>0</v>
      </c>
      <c r="O20" s="183" t="s">
        <v>765</v>
      </c>
      <c r="P20" s="183"/>
      <c r="Q20" s="183"/>
      <c r="R20" s="184"/>
      <c r="S20" s="183"/>
      <c r="T20" s="183"/>
    </row>
    <row r="21" spans="1:20" x14ac:dyDescent="0.3">
      <c r="A21" s="183" t="s">
        <v>458</v>
      </c>
      <c r="B21" s="184" t="s">
        <v>459</v>
      </c>
      <c r="C21" s="185">
        <v>1080301</v>
      </c>
      <c r="D21" s="186">
        <v>45016</v>
      </c>
      <c r="E21" s="183" t="s">
        <v>28</v>
      </c>
      <c r="F21" s="183" t="s">
        <v>71</v>
      </c>
      <c r="G21" s="183" t="s">
        <v>118</v>
      </c>
      <c r="H21" s="188" t="s">
        <v>25</v>
      </c>
      <c r="I21" s="188">
        <v>254730.6</v>
      </c>
      <c r="J21" s="188">
        <v>45851.508000000002</v>
      </c>
      <c r="K21" s="188" t="s">
        <v>79</v>
      </c>
      <c r="L21" s="188">
        <v>22925.754000000001</v>
      </c>
      <c r="M21" s="198" t="s">
        <v>340</v>
      </c>
      <c r="N21" s="192">
        <v>22925.754000000001</v>
      </c>
      <c r="O21" s="190" t="s">
        <v>27</v>
      </c>
      <c r="P21" s="190" t="s">
        <v>27</v>
      </c>
      <c r="Q21" s="183"/>
      <c r="R21" s="184"/>
      <c r="S21" s="183" t="s">
        <v>99</v>
      </c>
      <c r="T21" s="183"/>
    </row>
    <row r="22" spans="1:20" x14ac:dyDescent="0.3">
      <c r="A22" s="183" t="s">
        <v>171</v>
      </c>
      <c r="B22" s="184" t="s">
        <v>1394</v>
      </c>
      <c r="C22" s="195" t="s">
        <v>1395</v>
      </c>
      <c r="D22" s="186">
        <v>44951</v>
      </c>
      <c r="E22" s="183" t="s">
        <v>44</v>
      </c>
      <c r="F22" s="183" t="s">
        <v>71</v>
      </c>
      <c r="G22" s="183" t="s">
        <v>24</v>
      </c>
      <c r="H22" s="188" t="s">
        <v>25</v>
      </c>
      <c r="I22" s="188">
        <v>50500</v>
      </c>
      <c r="J22" s="188">
        <v>7575</v>
      </c>
      <c r="K22" s="188" t="s">
        <v>26</v>
      </c>
      <c r="L22" s="188">
        <v>0</v>
      </c>
      <c r="M22" s="188"/>
      <c r="N22" s="192">
        <v>7575</v>
      </c>
      <c r="O22" s="197" t="s">
        <v>340</v>
      </c>
      <c r="P22" s="197" t="s">
        <v>340</v>
      </c>
      <c r="Q22" s="183"/>
      <c r="R22" s="184"/>
      <c r="S22" s="183"/>
      <c r="T22" s="183"/>
    </row>
    <row r="23" spans="1:20" x14ac:dyDescent="0.3">
      <c r="A23" s="183" t="s">
        <v>435</v>
      </c>
      <c r="B23" s="184" t="s">
        <v>436</v>
      </c>
      <c r="C23" s="185">
        <v>1031101</v>
      </c>
      <c r="D23" s="186">
        <v>44965</v>
      </c>
      <c r="E23" s="183" t="s">
        <v>54</v>
      </c>
      <c r="F23" s="183" t="s">
        <v>71</v>
      </c>
      <c r="G23" s="183" t="s">
        <v>118</v>
      </c>
      <c r="H23" s="188" t="s">
        <v>25</v>
      </c>
      <c r="I23" s="188">
        <v>262721.07</v>
      </c>
      <c r="J23" s="188">
        <v>47289.792600000001</v>
      </c>
      <c r="K23" s="188" t="s">
        <v>79</v>
      </c>
      <c r="L23" s="188">
        <v>23644.8963</v>
      </c>
      <c r="M23" s="188"/>
      <c r="N23" s="192">
        <v>23644.8963</v>
      </c>
      <c r="O23" s="190" t="s">
        <v>27</v>
      </c>
      <c r="P23" s="190" t="s">
        <v>27</v>
      </c>
      <c r="Q23" s="191">
        <v>44978</v>
      </c>
      <c r="R23" s="183" t="s">
        <v>426</v>
      </c>
      <c r="S23" s="183" t="s">
        <v>54</v>
      </c>
      <c r="T23" s="183"/>
    </row>
    <row r="24" spans="1:20" x14ac:dyDescent="0.3">
      <c r="A24" s="183" t="s">
        <v>464</v>
      </c>
      <c r="B24" s="184" t="s">
        <v>465</v>
      </c>
      <c r="C24" s="185">
        <v>1049101</v>
      </c>
      <c r="D24" s="186">
        <v>44985</v>
      </c>
      <c r="E24" s="183" t="s">
        <v>54</v>
      </c>
      <c r="F24" s="183" t="s">
        <v>71</v>
      </c>
      <c r="G24" s="183" t="s">
        <v>24</v>
      </c>
      <c r="H24" s="188" t="s">
        <v>25</v>
      </c>
      <c r="I24" s="188">
        <v>271289.62</v>
      </c>
      <c r="J24" s="188">
        <v>40693.442999999999</v>
      </c>
      <c r="K24" s="188" t="s">
        <v>26</v>
      </c>
      <c r="L24" s="188">
        <v>0</v>
      </c>
      <c r="M24" s="188"/>
      <c r="N24" s="192">
        <v>40693.442999999999</v>
      </c>
      <c r="O24" s="190" t="s">
        <v>27</v>
      </c>
      <c r="P24" s="190" t="s">
        <v>27</v>
      </c>
      <c r="Q24" s="191">
        <v>44998</v>
      </c>
      <c r="R24" s="184"/>
      <c r="S24" s="183" t="s">
        <v>28</v>
      </c>
      <c r="T24" s="183"/>
    </row>
    <row r="25" spans="1:20" x14ac:dyDescent="0.3">
      <c r="A25" s="183" t="s">
        <v>490</v>
      </c>
      <c r="B25" s="184" t="s">
        <v>298</v>
      </c>
      <c r="C25" s="183"/>
      <c r="D25" s="187"/>
      <c r="E25" s="183"/>
      <c r="F25" s="183" t="s">
        <v>71</v>
      </c>
      <c r="G25" s="183" t="s">
        <v>46</v>
      </c>
      <c r="H25" s="188"/>
      <c r="I25" s="188">
        <v>0</v>
      </c>
      <c r="J25" s="188">
        <v>0</v>
      </c>
      <c r="K25" s="188" t="s">
        <v>72</v>
      </c>
      <c r="L25" s="188">
        <v>0</v>
      </c>
      <c r="M25" s="188"/>
      <c r="N25" s="192">
        <v>0</v>
      </c>
      <c r="O25" s="183" t="s">
        <v>765</v>
      </c>
      <c r="P25" s="183"/>
      <c r="Q25" s="183"/>
      <c r="R25" s="184"/>
      <c r="S25" s="183"/>
      <c r="T25" s="183"/>
    </row>
    <row r="26" spans="1:20" x14ac:dyDescent="0.3">
      <c r="A26" s="183" t="s">
        <v>531</v>
      </c>
      <c r="B26" s="184" t="s">
        <v>532</v>
      </c>
      <c r="C26" s="183"/>
      <c r="D26" s="187"/>
      <c r="E26" s="183" t="s">
        <v>84</v>
      </c>
      <c r="F26" s="183" t="s">
        <v>71</v>
      </c>
      <c r="G26" s="183" t="s">
        <v>118</v>
      </c>
      <c r="H26" s="188" t="s">
        <v>25</v>
      </c>
      <c r="I26" s="188">
        <v>246000</v>
      </c>
      <c r="J26" s="188">
        <v>44280</v>
      </c>
      <c r="K26" s="188" t="s">
        <v>79</v>
      </c>
      <c r="L26" s="188">
        <v>22140</v>
      </c>
      <c r="M26" s="188"/>
      <c r="N26" s="192">
        <v>22140</v>
      </c>
      <c r="O26" s="197" t="s">
        <v>340</v>
      </c>
      <c r="P26" s="197" t="s">
        <v>340</v>
      </c>
      <c r="Q26" s="183"/>
      <c r="R26" s="184"/>
      <c r="S26" s="183"/>
      <c r="T26" s="183"/>
    </row>
    <row r="27" spans="1:20" x14ac:dyDescent="0.3">
      <c r="A27" s="183" t="s">
        <v>531</v>
      </c>
      <c r="B27" s="184" t="s">
        <v>534</v>
      </c>
      <c r="C27" s="183"/>
      <c r="D27" s="187"/>
      <c r="E27" s="199" t="s">
        <v>84</v>
      </c>
      <c r="F27" s="183" t="s">
        <v>71</v>
      </c>
      <c r="G27" s="183" t="s">
        <v>118</v>
      </c>
      <c r="H27" s="188" t="s">
        <v>25</v>
      </c>
      <c r="I27" s="188">
        <v>246000</v>
      </c>
      <c r="J27" s="188">
        <v>44280</v>
      </c>
      <c r="K27" s="188" t="s">
        <v>79</v>
      </c>
      <c r="L27" s="188">
        <v>22140</v>
      </c>
      <c r="M27" s="188"/>
      <c r="N27" s="192">
        <v>22140</v>
      </c>
      <c r="O27" s="197" t="s">
        <v>340</v>
      </c>
      <c r="P27" s="197" t="s">
        <v>340</v>
      </c>
      <c r="Q27" s="183"/>
      <c r="R27" s="184"/>
      <c r="S27" s="183"/>
      <c r="T27" s="183"/>
    </row>
    <row r="28" spans="1:20" x14ac:dyDescent="0.3">
      <c r="A28" s="183" t="s">
        <v>510</v>
      </c>
      <c r="B28" s="184" t="s">
        <v>511</v>
      </c>
      <c r="C28" s="183"/>
      <c r="D28" s="187"/>
      <c r="E28" s="183" t="s">
        <v>84</v>
      </c>
      <c r="F28" s="200" t="s">
        <v>71</v>
      </c>
      <c r="G28" s="201" t="s">
        <v>118</v>
      </c>
      <c r="H28" s="201" t="s">
        <v>25</v>
      </c>
      <c r="I28" s="188">
        <v>246000</v>
      </c>
      <c r="J28" s="188">
        <v>44280</v>
      </c>
      <c r="K28" s="183" t="s">
        <v>79</v>
      </c>
      <c r="L28" s="188">
        <v>22140</v>
      </c>
      <c r="M28" s="188"/>
      <c r="N28" s="192">
        <v>22140</v>
      </c>
      <c r="O28" s="197" t="s">
        <v>340</v>
      </c>
      <c r="P28" s="197" t="s">
        <v>340</v>
      </c>
      <c r="Q28" s="183"/>
      <c r="R28" s="183"/>
      <c r="S28" s="183"/>
      <c r="T28" s="183"/>
    </row>
    <row r="29" spans="1:20" x14ac:dyDescent="0.3">
      <c r="A29" s="183" t="s">
        <v>399</v>
      </c>
      <c r="B29" s="183" t="s">
        <v>486</v>
      </c>
      <c r="C29" s="183"/>
      <c r="D29" s="183"/>
      <c r="E29" s="183"/>
      <c r="F29" s="183" t="s">
        <v>71</v>
      </c>
      <c r="G29" s="183" t="s">
        <v>118</v>
      </c>
      <c r="H29" s="188" t="s">
        <v>25</v>
      </c>
      <c r="I29" s="188">
        <v>0</v>
      </c>
      <c r="J29" s="188">
        <v>0</v>
      </c>
      <c r="K29" s="188" t="s">
        <v>79</v>
      </c>
      <c r="L29" s="188">
        <v>0</v>
      </c>
      <c r="M29" s="188"/>
      <c r="N29" s="192">
        <v>0</v>
      </c>
      <c r="O29" s="202" t="s">
        <v>1396</v>
      </c>
      <c r="P29" s="202"/>
      <c r="Q29" s="183"/>
      <c r="R29" s="183"/>
      <c r="S29" s="183"/>
      <c r="T29" s="183"/>
    </row>
    <row r="30" spans="1:20" x14ac:dyDescent="0.3">
      <c r="A30" s="183" t="s">
        <v>539</v>
      </c>
      <c r="B30" s="183" t="s">
        <v>540</v>
      </c>
      <c r="C30" s="183"/>
      <c r="D30" s="183"/>
      <c r="E30" s="183"/>
      <c r="F30" s="183" t="s">
        <v>71</v>
      </c>
      <c r="G30" s="183" t="s">
        <v>118</v>
      </c>
      <c r="H30" s="188" t="s">
        <v>25</v>
      </c>
      <c r="I30" s="188">
        <v>0</v>
      </c>
      <c r="J30" s="188">
        <v>0</v>
      </c>
      <c r="K30" s="183" t="s">
        <v>79</v>
      </c>
      <c r="L30" s="188">
        <v>0</v>
      </c>
      <c r="M30" s="188"/>
      <c r="N30" s="192">
        <v>0</v>
      </c>
      <c r="O30" s="183" t="s">
        <v>765</v>
      </c>
      <c r="P30" s="183"/>
      <c r="Q30" s="183"/>
      <c r="R30" s="183"/>
      <c r="S30" s="183"/>
      <c r="T30" s="183"/>
    </row>
    <row r="31" spans="1:20" x14ac:dyDescent="0.3">
      <c r="A31" s="196" t="s">
        <v>249</v>
      </c>
      <c r="B31" s="183" t="s">
        <v>609</v>
      </c>
      <c r="C31" s="183"/>
      <c r="D31" s="191"/>
      <c r="E31" s="183"/>
      <c r="F31" s="183" t="s">
        <v>71</v>
      </c>
      <c r="G31" s="183" t="s">
        <v>118</v>
      </c>
      <c r="H31" s="188" t="s">
        <v>25</v>
      </c>
      <c r="I31" s="188">
        <v>0</v>
      </c>
      <c r="J31" s="188">
        <v>0</v>
      </c>
      <c r="K31" s="183" t="s">
        <v>79</v>
      </c>
      <c r="L31" s="188">
        <v>0</v>
      </c>
      <c r="M31" s="188"/>
      <c r="N31" s="192">
        <v>0</v>
      </c>
      <c r="O31" s="196" t="s">
        <v>761</v>
      </c>
      <c r="P31" s="196"/>
      <c r="Q31" s="183"/>
      <c r="R31" s="183"/>
      <c r="S31" s="183"/>
      <c r="T31" s="183"/>
    </row>
    <row r="32" spans="1:20" x14ac:dyDescent="0.3">
      <c r="A32" s="196" t="s">
        <v>1397</v>
      </c>
      <c r="B32" s="183" t="s">
        <v>1398</v>
      </c>
      <c r="C32" s="183"/>
      <c r="D32" s="191"/>
      <c r="E32" s="183"/>
      <c r="F32" s="183" t="s">
        <v>71</v>
      </c>
      <c r="G32" s="183" t="s">
        <v>118</v>
      </c>
      <c r="H32" s="188" t="s">
        <v>25</v>
      </c>
      <c r="I32" s="188">
        <v>0</v>
      </c>
      <c r="J32" s="188">
        <v>0</v>
      </c>
      <c r="K32" s="183" t="s">
        <v>79</v>
      </c>
      <c r="L32" s="188">
        <v>0</v>
      </c>
      <c r="M32" s="188"/>
      <c r="N32" s="192">
        <v>0</v>
      </c>
      <c r="O32" s="196" t="s">
        <v>765</v>
      </c>
      <c r="P32" s="196"/>
      <c r="Q32" s="183"/>
      <c r="R32" s="183"/>
      <c r="S32" s="183"/>
      <c r="T32" s="183"/>
    </row>
    <row r="33" spans="1:20" x14ac:dyDescent="0.3">
      <c r="A33" s="196" t="s">
        <v>546</v>
      </c>
      <c r="B33" s="183" t="s">
        <v>547</v>
      </c>
      <c r="C33" s="183"/>
      <c r="D33" s="191"/>
      <c r="E33" s="183"/>
      <c r="F33" s="183" t="s">
        <v>71</v>
      </c>
      <c r="G33" s="183" t="s">
        <v>24</v>
      </c>
      <c r="H33" s="188" t="s">
        <v>25</v>
      </c>
      <c r="I33" s="188">
        <v>241200</v>
      </c>
      <c r="J33" s="188">
        <v>36180</v>
      </c>
      <c r="K33" s="183" t="s">
        <v>26</v>
      </c>
      <c r="L33" s="188">
        <v>0</v>
      </c>
      <c r="M33" s="188"/>
      <c r="N33" s="192">
        <v>36180</v>
      </c>
      <c r="O33" s="190" t="s">
        <v>27</v>
      </c>
      <c r="P33" s="190" t="s">
        <v>27</v>
      </c>
      <c r="Q33" s="183"/>
      <c r="R33" s="183"/>
      <c r="S33" s="183" t="s">
        <v>119</v>
      </c>
      <c r="T33" s="183"/>
    </row>
    <row r="34" spans="1:20" x14ac:dyDescent="0.3">
      <c r="A34" s="196" t="s">
        <v>568</v>
      </c>
      <c r="B34" s="183" t="s">
        <v>569</v>
      </c>
      <c r="C34" s="183"/>
      <c r="D34" s="191"/>
      <c r="E34" s="183"/>
      <c r="F34" s="183" t="s">
        <v>71</v>
      </c>
      <c r="G34" s="183" t="s">
        <v>46</v>
      </c>
      <c r="H34" s="188" t="s">
        <v>25</v>
      </c>
      <c r="I34" s="188">
        <v>0</v>
      </c>
      <c r="J34" s="188">
        <v>0</v>
      </c>
      <c r="K34" s="183" t="s">
        <v>72</v>
      </c>
      <c r="L34" s="188">
        <v>0</v>
      </c>
      <c r="M34" s="188"/>
      <c r="N34" s="192">
        <v>0</v>
      </c>
      <c r="O34" s="196" t="s">
        <v>1396</v>
      </c>
      <c r="P34" s="196"/>
      <c r="Q34" s="183"/>
      <c r="R34" s="183"/>
      <c r="S34" s="183"/>
      <c r="T34" s="183"/>
    </row>
    <row r="35" spans="1:20" x14ac:dyDescent="0.3">
      <c r="A35" s="196" t="s">
        <v>574</v>
      </c>
      <c r="B35" s="183" t="s">
        <v>575</v>
      </c>
      <c r="C35" s="183"/>
      <c r="D35" s="191"/>
      <c r="E35" s="183" t="s">
        <v>84</v>
      </c>
      <c r="F35" s="183" t="s">
        <v>71</v>
      </c>
      <c r="G35" s="183" t="s">
        <v>46</v>
      </c>
      <c r="H35" s="188" t="s">
        <v>315</v>
      </c>
      <c r="I35" s="188">
        <v>410326.89</v>
      </c>
      <c r="J35" s="188">
        <v>24619.613399999998</v>
      </c>
      <c r="K35" s="183" t="s">
        <v>26</v>
      </c>
      <c r="L35" s="188">
        <v>0</v>
      </c>
      <c r="M35" s="188"/>
      <c r="N35" s="192">
        <v>24619.613399999998</v>
      </c>
      <c r="O35" s="197" t="s">
        <v>340</v>
      </c>
      <c r="P35" s="197" t="s">
        <v>340</v>
      </c>
      <c r="Q35" s="183"/>
      <c r="R35" s="183"/>
      <c r="S35" s="183"/>
      <c r="T35" s="183"/>
    </row>
    <row r="36" spans="1:20" x14ac:dyDescent="0.3">
      <c r="A36" s="196" t="s">
        <v>249</v>
      </c>
      <c r="B36" s="183" t="s">
        <v>1399</v>
      </c>
      <c r="C36" s="183"/>
      <c r="D36" s="191"/>
      <c r="E36" s="183"/>
      <c r="F36" s="183" t="s">
        <v>71</v>
      </c>
      <c r="G36" s="183" t="s">
        <v>24</v>
      </c>
      <c r="H36" s="188" t="s">
        <v>25</v>
      </c>
      <c r="I36" s="188">
        <v>0</v>
      </c>
      <c r="J36" s="188">
        <v>0</v>
      </c>
      <c r="K36" s="183" t="s">
        <v>26</v>
      </c>
      <c r="L36" s="188">
        <v>0</v>
      </c>
      <c r="M36" s="188"/>
      <c r="N36" s="192">
        <v>0</v>
      </c>
      <c r="O36" s="196" t="s">
        <v>1400</v>
      </c>
      <c r="P36" s="196"/>
      <c r="Q36" s="183"/>
      <c r="R36" s="183"/>
      <c r="S36" s="183"/>
      <c r="T36" s="18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A6D15-395E-433B-B638-2657CB62C8BD}">
  <dimension ref="A1:T35"/>
  <sheetViews>
    <sheetView zoomScale="57" workbookViewId="0">
      <selection activeCell="F9" sqref="F9"/>
    </sheetView>
  </sheetViews>
  <sheetFormatPr baseColWidth="10" defaultColWidth="11.44140625" defaultRowHeight="14.4" x14ac:dyDescent="0.3"/>
  <cols>
    <col min="1" max="1" width="30.109375" bestFit="1" customWidth="1"/>
    <col min="2" max="2" width="22.44140625" bestFit="1" customWidth="1"/>
    <col min="3" max="3" width="18.88671875" bestFit="1" customWidth="1"/>
    <col min="4" max="4" width="17.88671875" bestFit="1" customWidth="1"/>
    <col min="5" max="5" width="18" bestFit="1" customWidth="1"/>
    <col min="6" max="6" width="29.44140625" bestFit="1" customWidth="1"/>
    <col min="7" max="7" width="23" customWidth="1"/>
    <col min="9" max="9" width="18" bestFit="1" customWidth="1"/>
    <col min="10" max="10" width="16.5546875" bestFit="1" customWidth="1"/>
    <col min="11" max="11" width="23.5546875" bestFit="1" customWidth="1"/>
    <col min="12" max="12" width="19.109375" bestFit="1" customWidth="1"/>
    <col min="13" max="13" width="30.109375" bestFit="1" customWidth="1"/>
    <col min="14" max="14" width="20.88671875" bestFit="1" customWidth="1"/>
    <col min="15" max="15" width="35.44140625" customWidth="1"/>
    <col min="16" max="16" width="36.88671875" customWidth="1"/>
    <col min="18" max="18" width="18.5546875" bestFit="1" customWidth="1"/>
    <col min="19" max="19" width="21" bestFit="1" customWidth="1"/>
    <col min="20" max="20" width="14.44140625" bestFit="1" customWidth="1"/>
  </cols>
  <sheetData>
    <row r="1" spans="1:20" ht="18" customHeight="1" x14ac:dyDescent="0.3">
      <c r="A1" s="25" t="s">
        <v>377</v>
      </c>
      <c r="B1" s="25" t="s">
        <v>378</v>
      </c>
      <c r="C1" s="25" t="s">
        <v>2</v>
      </c>
      <c r="D1" s="25" t="s">
        <v>3</v>
      </c>
      <c r="E1" s="25" t="s">
        <v>4</v>
      </c>
      <c r="F1" s="25" t="s">
        <v>5</v>
      </c>
      <c r="G1" s="26" t="s">
        <v>6</v>
      </c>
      <c r="H1" s="27" t="s">
        <v>7</v>
      </c>
      <c r="I1" s="26" t="s">
        <v>8</v>
      </c>
      <c r="J1" s="26" t="s">
        <v>9</v>
      </c>
      <c r="K1" s="26" t="s">
        <v>10</v>
      </c>
      <c r="L1" s="26" t="s">
        <v>380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381</v>
      </c>
      <c r="R1" s="26" t="s">
        <v>382</v>
      </c>
      <c r="S1" s="26" t="s">
        <v>18</v>
      </c>
      <c r="T1" s="26" t="s">
        <v>19</v>
      </c>
    </row>
    <row r="2" spans="1:20" ht="18" customHeight="1" x14ac:dyDescent="0.3">
      <c r="A2" s="6" t="s">
        <v>496</v>
      </c>
      <c r="B2" s="32" t="s">
        <v>497</v>
      </c>
      <c r="C2" s="6" t="s">
        <v>498</v>
      </c>
      <c r="D2" s="20">
        <v>45007</v>
      </c>
      <c r="E2" s="6" t="s">
        <v>28</v>
      </c>
      <c r="F2" s="6" t="s">
        <v>57</v>
      </c>
      <c r="G2" s="6" t="s">
        <v>78</v>
      </c>
      <c r="H2" s="9" t="s">
        <v>47</v>
      </c>
      <c r="I2" s="9">
        <v>984228.04</v>
      </c>
      <c r="J2" s="9">
        <v>147634.20600000001</v>
      </c>
      <c r="K2" s="9" t="s">
        <v>79</v>
      </c>
      <c r="L2" s="9">
        <v>73817.103000000003</v>
      </c>
      <c r="M2" s="174" t="s">
        <v>340</v>
      </c>
      <c r="N2" s="34">
        <v>73817.103000000003</v>
      </c>
      <c r="O2" s="42" t="s">
        <v>27</v>
      </c>
      <c r="P2" s="42" t="s">
        <v>27</v>
      </c>
      <c r="Q2" s="20">
        <v>45062</v>
      </c>
      <c r="R2" s="41">
        <v>1047200</v>
      </c>
      <c r="S2" s="6" t="s">
        <v>84</v>
      </c>
      <c r="T2" s="6"/>
    </row>
    <row r="3" spans="1:20" ht="18" customHeight="1" x14ac:dyDescent="0.3">
      <c r="A3" s="46" t="s">
        <v>1362</v>
      </c>
      <c r="B3" s="46" t="s">
        <v>553</v>
      </c>
      <c r="C3" s="6" t="s">
        <v>554</v>
      </c>
      <c r="D3" s="20">
        <v>45089</v>
      </c>
      <c r="E3" s="6" t="s">
        <v>119</v>
      </c>
      <c r="F3" s="6" t="s">
        <v>57</v>
      </c>
      <c r="G3" s="6" t="s">
        <v>78</v>
      </c>
      <c r="H3" s="9" t="s">
        <v>47</v>
      </c>
      <c r="I3" s="9">
        <v>428306.87</v>
      </c>
      <c r="J3" s="9">
        <v>64246.030499999993</v>
      </c>
      <c r="K3" s="9" t="s">
        <v>79</v>
      </c>
      <c r="L3" s="9">
        <v>32123.015249999997</v>
      </c>
      <c r="M3" s="174" t="s">
        <v>340</v>
      </c>
      <c r="N3" s="34">
        <v>32123.015249999997</v>
      </c>
      <c r="O3" s="42" t="s">
        <v>27</v>
      </c>
      <c r="P3" s="42" t="s">
        <v>27</v>
      </c>
      <c r="Q3" s="20">
        <v>45113</v>
      </c>
      <c r="R3" s="6"/>
      <c r="S3" s="6" t="s">
        <v>144</v>
      </c>
      <c r="T3" s="6"/>
    </row>
    <row r="4" spans="1:20" ht="18" customHeight="1" x14ac:dyDescent="0.3">
      <c r="A4" s="6" t="s">
        <v>93</v>
      </c>
      <c r="B4" s="32" t="s">
        <v>477</v>
      </c>
      <c r="C4" s="6" t="s">
        <v>478</v>
      </c>
      <c r="D4" s="33" t="s">
        <v>479</v>
      </c>
      <c r="E4" s="6" t="s">
        <v>99</v>
      </c>
      <c r="F4" s="6" t="s">
        <v>57</v>
      </c>
      <c r="G4" s="6" t="s">
        <v>78</v>
      </c>
      <c r="H4" s="9" t="s">
        <v>47</v>
      </c>
      <c r="I4" s="9">
        <v>1048500</v>
      </c>
      <c r="J4" s="9">
        <v>157275</v>
      </c>
      <c r="K4" s="9" t="s">
        <v>79</v>
      </c>
      <c r="L4" s="9">
        <v>78637.5</v>
      </c>
      <c r="M4" s="174" t="s">
        <v>340</v>
      </c>
      <c r="N4" s="34">
        <v>78637.5</v>
      </c>
      <c r="O4" s="42" t="s">
        <v>27</v>
      </c>
      <c r="P4" s="42" t="s">
        <v>27</v>
      </c>
      <c r="Q4" s="20">
        <v>45034</v>
      </c>
      <c r="R4" s="41">
        <v>1038106</v>
      </c>
      <c r="S4" s="6" t="s">
        <v>99</v>
      </c>
      <c r="T4" s="6"/>
    </row>
    <row r="5" spans="1:20" ht="18" customHeight="1" x14ac:dyDescent="0.3">
      <c r="A5" s="6" t="s">
        <v>450</v>
      </c>
      <c r="B5" s="32" t="s">
        <v>451</v>
      </c>
      <c r="C5" s="6" t="s">
        <v>452</v>
      </c>
      <c r="D5" s="44">
        <v>44985</v>
      </c>
      <c r="E5" s="6" t="s">
        <v>54</v>
      </c>
      <c r="F5" s="6" t="s">
        <v>57</v>
      </c>
      <c r="G5" s="6" t="s">
        <v>78</v>
      </c>
      <c r="H5" s="9" t="s">
        <v>47</v>
      </c>
      <c r="I5" s="9">
        <v>1187509.82</v>
      </c>
      <c r="J5" s="9">
        <v>178126.473</v>
      </c>
      <c r="K5" s="9" t="s">
        <v>79</v>
      </c>
      <c r="L5" s="9">
        <v>89063.236499999999</v>
      </c>
      <c r="M5" s="174" t="s">
        <v>340</v>
      </c>
      <c r="N5" s="34">
        <v>89063.236499999999</v>
      </c>
      <c r="O5" s="42" t="s">
        <v>27</v>
      </c>
      <c r="P5" s="42" t="s">
        <v>27</v>
      </c>
      <c r="Q5" s="20">
        <v>45007</v>
      </c>
      <c r="R5" s="41">
        <v>1023950</v>
      </c>
      <c r="S5" s="6" t="s">
        <v>28</v>
      </c>
      <c r="T5" s="6"/>
    </row>
    <row r="6" spans="1:20" ht="18" customHeight="1" x14ac:dyDescent="0.3">
      <c r="A6" s="6" t="s">
        <v>439</v>
      </c>
      <c r="B6" s="32" t="s">
        <v>440</v>
      </c>
      <c r="C6" s="6" t="s">
        <v>441</v>
      </c>
      <c r="D6" s="44">
        <v>44936</v>
      </c>
      <c r="E6" s="6" t="s">
        <v>44</v>
      </c>
      <c r="F6" s="6" t="s">
        <v>57</v>
      </c>
      <c r="G6" s="6" t="s">
        <v>78</v>
      </c>
      <c r="H6" s="9" t="s">
        <v>47</v>
      </c>
      <c r="I6" s="9">
        <v>4555300.87</v>
      </c>
      <c r="J6" s="9">
        <v>683295.13049999997</v>
      </c>
      <c r="K6" s="9" t="s">
        <v>79</v>
      </c>
      <c r="L6" s="9">
        <v>341647.56524999999</v>
      </c>
      <c r="M6" s="174" t="s">
        <v>340</v>
      </c>
      <c r="N6" s="34">
        <v>341647.56524999999</v>
      </c>
      <c r="O6" s="42" t="s">
        <v>27</v>
      </c>
      <c r="P6" s="42" t="s">
        <v>27</v>
      </c>
      <c r="Q6" s="20">
        <v>44965</v>
      </c>
      <c r="R6" s="32" t="s">
        <v>442</v>
      </c>
      <c r="S6" s="6" t="s">
        <v>54</v>
      </c>
      <c r="T6" s="6"/>
    </row>
    <row r="7" spans="1:20" ht="18" customHeight="1" x14ac:dyDescent="0.3">
      <c r="A7" s="6" t="s">
        <v>460</v>
      </c>
      <c r="B7" s="32" t="s">
        <v>461</v>
      </c>
      <c r="C7" s="6" t="s">
        <v>462</v>
      </c>
      <c r="D7" s="44">
        <v>44985</v>
      </c>
      <c r="E7" s="6" t="s">
        <v>54</v>
      </c>
      <c r="F7" s="6" t="s">
        <v>57</v>
      </c>
      <c r="G7" s="6" t="s">
        <v>78</v>
      </c>
      <c r="H7" s="9" t="s">
        <v>47</v>
      </c>
      <c r="I7" s="9">
        <v>647185.13</v>
      </c>
      <c r="J7" s="9">
        <v>97077.769499999995</v>
      </c>
      <c r="K7" s="9" t="s">
        <v>79</v>
      </c>
      <c r="L7" s="9">
        <v>48538.884749999997</v>
      </c>
      <c r="M7" s="174" t="s">
        <v>340</v>
      </c>
      <c r="N7" s="34">
        <v>48538.884749999997</v>
      </c>
      <c r="O7" s="42" t="s">
        <v>27</v>
      </c>
      <c r="P7" s="42" t="s">
        <v>27</v>
      </c>
      <c r="Q7" s="20">
        <v>45007</v>
      </c>
      <c r="R7" s="41">
        <v>1023950</v>
      </c>
      <c r="S7" s="6" t="s">
        <v>28</v>
      </c>
      <c r="T7" s="6"/>
    </row>
    <row r="8" spans="1:20" ht="18" customHeight="1" x14ac:dyDescent="0.3">
      <c r="A8" s="6" t="s">
        <v>535</v>
      </c>
      <c r="B8" s="32" t="s">
        <v>536</v>
      </c>
      <c r="C8" s="6" t="s">
        <v>537</v>
      </c>
      <c r="D8" s="20">
        <v>45070</v>
      </c>
      <c r="E8" s="6" t="s">
        <v>84</v>
      </c>
      <c r="F8" s="6" t="s">
        <v>57</v>
      </c>
      <c r="G8" s="6" t="s">
        <v>78</v>
      </c>
      <c r="H8" s="9" t="s">
        <v>47</v>
      </c>
      <c r="I8" s="9">
        <v>680872.92</v>
      </c>
      <c r="J8" s="9">
        <v>102130.93800000001</v>
      </c>
      <c r="K8" s="6" t="s">
        <v>79</v>
      </c>
      <c r="L8" s="9">
        <v>51065.469000000005</v>
      </c>
      <c r="M8" s="174" t="s">
        <v>340</v>
      </c>
      <c r="N8" s="34">
        <v>51065.469000000005</v>
      </c>
      <c r="O8" s="42" t="s">
        <v>27</v>
      </c>
      <c r="P8" s="42" t="s">
        <v>27</v>
      </c>
      <c r="Q8" s="20">
        <v>45097</v>
      </c>
      <c r="R8" s="41">
        <v>1059773</v>
      </c>
      <c r="S8" s="205" t="s">
        <v>119</v>
      </c>
      <c r="T8" s="6"/>
    </row>
    <row r="9" spans="1:20" ht="18" customHeight="1" x14ac:dyDescent="0.3">
      <c r="A9" s="46" t="s">
        <v>515</v>
      </c>
      <c r="B9" s="6" t="s">
        <v>516</v>
      </c>
      <c r="C9" s="6" t="s">
        <v>517</v>
      </c>
      <c r="D9" s="20">
        <v>45026</v>
      </c>
      <c r="E9" s="6" t="s">
        <v>99</v>
      </c>
      <c r="F9" s="6" t="s">
        <v>57</v>
      </c>
      <c r="G9" s="6" t="s">
        <v>78</v>
      </c>
      <c r="H9" s="9" t="s">
        <v>47</v>
      </c>
      <c r="I9" s="9">
        <v>1947740.94</v>
      </c>
      <c r="J9" s="9">
        <v>292161.141</v>
      </c>
      <c r="K9" s="9" t="s">
        <v>79</v>
      </c>
      <c r="L9" s="9">
        <v>146080.5705</v>
      </c>
      <c r="M9" s="174" t="s">
        <v>340</v>
      </c>
      <c r="N9" s="34">
        <v>146080.5705</v>
      </c>
      <c r="O9" s="42" t="s">
        <v>27</v>
      </c>
      <c r="P9" s="42" t="s">
        <v>27</v>
      </c>
      <c r="Q9" s="20">
        <v>45062</v>
      </c>
      <c r="R9" s="41">
        <v>1047200</v>
      </c>
      <c r="S9" s="6" t="s">
        <v>84</v>
      </c>
      <c r="T9" s="6"/>
    </row>
    <row r="10" spans="1:20" ht="18" customHeight="1" x14ac:dyDescent="0.3">
      <c r="A10" s="46" t="s">
        <v>542</v>
      </c>
      <c r="B10" s="6" t="s">
        <v>543</v>
      </c>
      <c r="C10" s="6" t="s">
        <v>544</v>
      </c>
      <c r="D10" s="20">
        <v>45077</v>
      </c>
      <c r="E10" s="6" t="s">
        <v>84</v>
      </c>
      <c r="F10" s="6" t="s">
        <v>57</v>
      </c>
      <c r="G10" s="6" t="s">
        <v>78</v>
      </c>
      <c r="H10" s="9" t="s">
        <v>47</v>
      </c>
      <c r="I10" s="9">
        <v>606994.93000000005</v>
      </c>
      <c r="J10" s="9">
        <v>91049.239500000011</v>
      </c>
      <c r="K10" s="6" t="s">
        <v>79</v>
      </c>
      <c r="L10" s="9">
        <v>45524.619750000005</v>
      </c>
      <c r="M10" s="174" t="s">
        <v>340</v>
      </c>
      <c r="N10" s="34">
        <v>45524.619750000005</v>
      </c>
      <c r="O10" s="42" t="s">
        <v>27</v>
      </c>
      <c r="P10" s="42" t="s">
        <v>27</v>
      </c>
      <c r="Q10" s="20">
        <v>45097</v>
      </c>
      <c r="R10" s="41">
        <v>1059773</v>
      </c>
      <c r="S10" s="6" t="s">
        <v>119</v>
      </c>
      <c r="T10" s="6"/>
    </row>
    <row r="11" spans="1:20" ht="18" customHeight="1" x14ac:dyDescent="0.3">
      <c r="A11" s="46" t="s">
        <v>564</v>
      </c>
      <c r="B11" s="6" t="s">
        <v>565</v>
      </c>
      <c r="C11" s="6" t="s">
        <v>566</v>
      </c>
      <c r="D11" s="20">
        <v>45106</v>
      </c>
      <c r="E11" s="6" t="s">
        <v>119</v>
      </c>
      <c r="F11" s="6" t="s">
        <v>57</v>
      </c>
      <c r="G11" s="6" t="s">
        <v>78</v>
      </c>
      <c r="H11" s="9" t="s">
        <v>47</v>
      </c>
      <c r="I11" s="9">
        <v>1383194.16</v>
      </c>
      <c r="J11" s="9">
        <v>207479.12399999998</v>
      </c>
      <c r="K11" s="6" t="s">
        <v>79</v>
      </c>
      <c r="L11" s="9">
        <v>103739.56199999999</v>
      </c>
      <c r="M11" s="174" t="s">
        <v>340</v>
      </c>
      <c r="N11" s="34">
        <v>103739.56199999999</v>
      </c>
      <c r="O11" s="42" t="s">
        <v>27</v>
      </c>
      <c r="P11" s="42" t="s">
        <v>27</v>
      </c>
      <c r="Q11" s="20">
        <v>45132</v>
      </c>
      <c r="R11" s="6"/>
      <c r="S11" s="6" t="s">
        <v>144</v>
      </c>
      <c r="T11" s="6"/>
    </row>
    <row r="12" spans="1:20" ht="18" customHeight="1" x14ac:dyDescent="0.3">
      <c r="A12" s="176"/>
      <c r="B12" s="176"/>
      <c r="D12" s="43"/>
      <c r="H12" s="1"/>
      <c r="I12" s="1"/>
      <c r="J12" s="1"/>
      <c r="K12" s="1"/>
      <c r="L12" s="1"/>
      <c r="M12" s="1"/>
    </row>
    <row r="13" spans="1:20" ht="18" customHeight="1" x14ac:dyDescent="0.3">
      <c r="A13" s="176"/>
      <c r="B13" s="176"/>
      <c r="D13" s="43"/>
      <c r="H13" s="1"/>
      <c r="I13" s="1"/>
      <c r="J13" s="1"/>
      <c r="K13" s="1"/>
      <c r="L13" s="1"/>
      <c r="M13" s="1"/>
    </row>
    <row r="14" spans="1:20" ht="21.6" customHeight="1" x14ac:dyDescent="0.3">
      <c r="A14" s="176"/>
      <c r="B14" s="176"/>
      <c r="D14" s="43"/>
      <c r="H14" s="1"/>
      <c r="I14" s="1"/>
      <c r="J14" s="1"/>
      <c r="K14" s="1"/>
      <c r="L14" s="1"/>
      <c r="M14" s="1"/>
    </row>
    <row r="15" spans="1:20" ht="18" customHeight="1" x14ac:dyDescent="0.3">
      <c r="B15" s="176"/>
      <c r="D15" s="43"/>
      <c r="F15" s="216"/>
      <c r="G15" s="216"/>
      <c r="H15" s="1"/>
      <c r="I15" s="1"/>
      <c r="J15" s="1"/>
      <c r="K15" s="1"/>
      <c r="L15" s="1"/>
      <c r="M15" s="1"/>
    </row>
    <row r="16" spans="1:20" ht="18" customHeight="1" x14ac:dyDescent="0.3">
      <c r="A16" s="6" t="s">
        <v>672</v>
      </c>
      <c r="B16" s="6"/>
      <c r="C16" s="9">
        <v>2020475.0519999999</v>
      </c>
      <c r="E16" s="39" t="s">
        <v>373</v>
      </c>
      <c r="F16" s="39" t="s">
        <v>374</v>
      </c>
      <c r="G16" s="39" t="s">
        <v>13</v>
      </c>
      <c r="H16" s="1"/>
      <c r="J16" s="1"/>
      <c r="L16" s="1"/>
    </row>
    <row r="17" spans="1:14" ht="18" customHeight="1" x14ac:dyDescent="0.3">
      <c r="A17" s="6" t="s">
        <v>375</v>
      </c>
      <c r="B17" s="6"/>
      <c r="C17" s="9">
        <v>323276.00831999996</v>
      </c>
      <c r="E17" s="9">
        <v>2020475.0519999999</v>
      </c>
      <c r="F17" s="9">
        <v>1010237.526</v>
      </c>
      <c r="G17" s="9">
        <v>1010237.526</v>
      </c>
      <c r="I17" s="1"/>
    </row>
    <row r="18" spans="1:14" ht="18" customHeight="1" x14ac:dyDescent="0.3">
      <c r="A18" s="6" t="s">
        <v>376</v>
      </c>
      <c r="B18" s="6"/>
      <c r="C18" s="9">
        <v>2343751.0603199997</v>
      </c>
      <c r="E18" s="40">
        <v>112248.614</v>
      </c>
      <c r="F18" s="40">
        <v>56124.307000000001</v>
      </c>
      <c r="G18" s="40">
        <v>56124.307000000001</v>
      </c>
      <c r="L18" s="1"/>
    </row>
    <row r="19" spans="1:14" ht="18" customHeight="1" x14ac:dyDescent="0.3">
      <c r="I19" s="1"/>
      <c r="J19" s="1"/>
    </row>
    <row r="20" spans="1:14" ht="18" customHeight="1" x14ac:dyDescent="0.3">
      <c r="F20" s="1">
        <v>2020475.0519999999</v>
      </c>
      <c r="G20" s="1">
        <v>0</v>
      </c>
    </row>
    <row r="21" spans="1:14" ht="18" customHeight="1" x14ac:dyDescent="0.3">
      <c r="F21" s="1"/>
      <c r="H21" s="13"/>
      <c r="I21" s="206"/>
    </row>
    <row r="22" spans="1:14" ht="18" customHeight="1" x14ac:dyDescent="0.3">
      <c r="F22" s="13"/>
      <c r="G22" s="1"/>
      <c r="H22" s="1"/>
    </row>
    <row r="23" spans="1:14" ht="18" customHeight="1" x14ac:dyDescent="0.3">
      <c r="E23" s="1"/>
      <c r="F23" s="1"/>
      <c r="G23" s="1"/>
    </row>
    <row r="24" spans="1:14" ht="18" customHeight="1" x14ac:dyDescent="0.3">
      <c r="E24" t="s">
        <v>335</v>
      </c>
      <c r="F24" s="1"/>
    </row>
    <row r="25" spans="1:14" ht="18" customHeight="1" x14ac:dyDescent="0.3"/>
    <row r="26" spans="1:14" ht="18" customHeight="1" x14ac:dyDescent="0.3">
      <c r="E26" s="175"/>
      <c r="F26" s="13"/>
      <c r="G26" s="206"/>
      <c r="I26" s="13"/>
    </row>
    <row r="27" spans="1:14" ht="18" customHeight="1" x14ac:dyDescent="0.3">
      <c r="B27" s="13"/>
      <c r="C27" s="13"/>
      <c r="D27" s="13"/>
      <c r="E27" s="206"/>
      <c r="I27" s="1"/>
    </row>
    <row r="28" spans="1:14" ht="18" customHeight="1" x14ac:dyDescent="0.3">
      <c r="G28" s="206"/>
    </row>
    <row r="29" spans="1:14" ht="18" customHeight="1" x14ac:dyDescent="0.3">
      <c r="D29" s="13"/>
      <c r="E29" s="13"/>
    </row>
    <row r="30" spans="1:14" ht="18" customHeight="1" x14ac:dyDescent="0.3">
      <c r="E30" s="203">
        <v>8816781.3354860004</v>
      </c>
      <c r="F30" s="203">
        <v>2020475.0519999999</v>
      </c>
      <c r="G30" s="203">
        <v>6796306.2834860003</v>
      </c>
    </row>
    <row r="31" spans="1:14" ht="18" customHeight="1" x14ac:dyDescent="0.3">
      <c r="E31" s="38">
        <v>440839.06677430001</v>
      </c>
      <c r="F31" s="38">
        <v>101023.75259999999</v>
      </c>
      <c r="G31" s="38">
        <v>339815.3141743</v>
      </c>
      <c r="I31" s="206"/>
      <c r="J31" s="12"/>
      <c r="K31" s="206"/>
      <c r="M31" s="12">
        <v>46319.74</v>
      </c>
      <c r="N31" s="13">
        <v>9263.9480000000003</v>
      </c>
    </row>
    <row r="32" spans="1:14" ht="18" customHeight="1" x14ac:dyDescent="0.3">
      <c r="G32" s="1"/>
    </row>
    <row r="33" spans="7:11" ht="18" customHeight="1" x14ac:dyDescent="0.3"/>
    <row r="34" spans="7:11" ht="18" customHeight="1" x14ac:dyDescent="0.3">
      <c r="G34" s="175"/>
      <c r="H34" s="1"/>
      <c r="I34" s="206"/>
      <c r="K34" s="206"/>
    </row>
    <row r="35" spans="7:11" ht="18" customHeight="1" x14ac:dyDescent="0.3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85736-01FD-4062-9181-97CD1831CF77}">
  <dimension ref="A1:T23"/>
  <sheetViews>
    <sheetView topLeftCell="D12" workbookViewId="0">
      <selection activeCell="L17" sqref="L17"/>
    </sheetView>
  </sheetViews>
  <sheetFormatPr baseColWidth="10" defaultColWidth="11.44140625" defaultRowHeight="10.199999999999999" x14ac:dyDescent="0.2"/>
  <cols>
    <col min="1" max="1" width="29" style="363" customWidth="1"/>
    <col min="2" max="2" width="24" style="363" customWidth="1"/>
    <col min="3" max="3" width="17.44140625" style="363" bestFit="1" customWidth="1"/>
    <col min="4" max="4" width="16.44140625" style="363" bestFit="1" customWidth="1"/>
    <col min="5" max="5" width="14.88671875" style="363" bestFit="1" customWidth="1"/>
    <col min="6" max="6" width="26.44140625" style="363" bestFit="1" customWidth="1"/>
    <col min="7" max="7" width="19.88671875" style="363" bestFit="1" customWidth="1"/>
    <col min="8" max="8" width="15.44140625" style="363" bestFit="1" customWidth="1"/>
    <col min="9" max="9" width="14.5546875" style="363" bestFit="1" customWidth="1"/>
    <col min="10" max="10" width="14.88671875" style="363" bestFit="1" customWidth="1"/>
    <col min="11" max="11" width="21.44140625" style="363" bestFit="1" customWidth="1"/>
    <col min="12" max="12" width="17.44140625" style="363" bestFit="1" customWidth="1"/>
    <col min="13" max="13" width="27.44140625" style="363" bestFit="1" customWidth="1"/>
    <col min="14" max="14" width="19.109375" style="363" bestFit="1" customWidth="1"/>
    <col min="15" max="15" width="28.109375" style="363" bestFit="1" customWidth="1"/>
    <col min="16" max="16" width="20.5546875" style="363" bestFit="1" customWidth="1"/>
    <col min="17" max="17" width="23" style="363" bestFit="1" customWidth="1"/>
    <col min="18" max="18" width="14" style="363" bestFit="1" customWidth="1"/>
    <col min="19" max="19" width="88.88671875" style="363" bestFit="1" customWidth="1"/>
    <col min="20" max="20" width="13" style="363" bestFit="1" customWidth="1"/>
    <col min="21" max="16384" width="11.44140625" style="363"/>
  </cols>
  <sheetData>
    <row r="1" spans="1:20" ht="23.4" customHeight="1" x14ac:dyDescent="0.2">
      <c r="A1" s="360" t="s">
        <v>377</v>
      </c>
      <c r="B1" s="360" t="s">
        <v>378</v>
      </c>
      <c r="C1" s="360" t="s">
        <v>2</v>
      </c>
      <c r="D1" s="360" t="s">
        <v>3</v>
      </c>
      <c r="E1" s="360" t="s">
        <v>4</v>
      </c>
      <c r="F1" s="360" t="s">
        <v>5</v>
      </c>
      <c r="G1" s="361" t="s">
        <v>6</v>
      </c>
      <c r="H1" s="362" t="s">
        <v>7</v>
      </c>
      <c r="I1" s="361" t="s">
        <v>8</v>
      </c>
      <c r="J1" s="361" t="s">
        <v>9</v>
      </c>
      <c r="K1" s="361" t="s">
        <v>10</v>
      </c>
      <c r="L1" s="361" t="s">
        <v>380</v>
      </c>
      <c r="M1" s="361" t="s">
        <v>12</v>
      </c>
      <c r="N1" s="361" t="s">
        <v>13</v>
      </c>
      <c r="O1" s="361" t="s">
        <v>14</v>
      </c>
      <c r="P1" s="361" t="s">
        <v>15</v>
      </c>
      <c r="Q1" s="361" t="s">
        <v>381</v>
      </c>
      <c r="R1" s="361" t="s">
        <v>382</v>
      </c>
      <c r="S1" s="361" t="s">
        <v>18</v>
      </c>
    </row>
    <row r="2" spans="1:20" x14ac:dyDescent="0.2">
      <c r="A2" s="364" t="s">
        <v>36</v>
      </c>
      <c r="B2" s="365" t="s">
        <v>37</v>
      </c>
      <c r="C2" s="364">
        <v>7000138</v>
      </c>
      <c r="D2" s="366">
        <v>44536</v>
      </c>
      <c r="E2" s="367" t="s">
        <v>38</v>
      </c>
      <c r="F2" s="364" t="s">
        <v>39</v>
      </c>
      <c r="G2" s="364" t="s">
        <v>24</v>
      </c>
      <c r="H2" s="368">
        <v>298000</v>
      </c>
      <c r="I2" s="369">
        <v>40961.57</v>
      </c>
      <c r="J2" s="365" t="s">
        <v>26</v>
      </c>
      <c r="K2" s="369">
        <v>0</v>
      </c>
      <c r="L2" s="370" t="s">
        <v>27</v>
      </c>
      <c r="M2" s="368">
        <v>40961.57</v>
      </c>
      <c r="N2" s="371" t="s">
        <v>27</v>
      </c>
      <c r="O2" s="371" t="s">
        <v>27</v>
      </c>
      <c r="P2" s="372"/>
      <c r="Q2" s="372"/>
      <c r="R2" s="364" t="s">
        <v>28</v>
      </c>
      <c r="S2" s="373"/>
      <c r="T2" s="373"/>
    </row>
    <row r="3" spans="1:20" x14ac:dyDescent="0.2">
      <c r="A3" s="364" t="s">
        <v>29</v>
      </c>
      <c r="B3" s="365" t="s">
        <v>30</v>
      </c>
      <c r="C3" s="364">
        <v>7000143</v>
      </c>
      <c r="D3" s="366">
        <v>44560</v>
      </c>
      <c r="E3" s="367" t="s">
        <v>38</v>
      </c>
      <c r="F3" s="364" t="s">
        <v>39</v>
      </c>
      <c r="G3" s="364" t="s">
        <v>24</v>
      </c>
      <c r="H3" s="368">
        <v>228571.4</v>
      </c>
      <c r="I3" s="369">
        <v>31830.45</v>
      </c>
      <c r="J3" s="365" t="s">
        <v>26</v>
      </c>
      <c r="K3" s="369">
        <v>0</v>
      </c>
      <c r="L3" s="370" t="s">
        <v>27</v>
      </c>
      <c r="M3" s="368">
        <v>31830.45</v>
      </c>
      <c r="N3" s="371" t="s">
        <v>27</v>
      </c>
      <c r="O3" s="371" t="s">
        <v>27</v>
      </c>
      <c r="P3" s="372"/>
      <c r="Q3" s="372"/>
      <c r="R3" s="364" t="s">
        <v>28</v>
      </c>
      <c r="S3" s="373"/>
      <c r="T3" s="373"/>
    </row>
    <row r="4" spans="1:20" x14ac:dyDescent="0.2">
      <c r="A4" s="364" t="s">
        <v>48</v>
      </c>
      <c r="B4" s="365" t="s">
        <v>49</v>
      </c>
      <c r="C4" s="364">
        <v>7000135</v>
      </c>
      <c r="D4" s="366">
        <v>44510</v>
      </c>
      <c r="E4" s="367" t="s">
        <v>50</v>
      </c>
      <c r="F4" s="364" t="s">
        <v>39</v>
      </c>
      <c r="G4" s="364" t="s">
        <v>46</v>
      </c>
      <c r="H4" s="368">
        <v>11538.46</v>
      </c>
      <c r="I4" s="369">
        <v>778.85</v>
      </c>
      <c r="J4" s="365" t="s">
        <v>26</v>
      </c>
      <c r="K4" s="369">
        <v>0</v>
      </c>
      <c r="L4" s="370" t="s">
        <v>27</v>
      </c>
      <c r="M4" s="369">
        <v>778.85</v>
      </c>
      <c r="N4" s="371" t="s">
        <v>27</v>
      </c>
      <c r="O4" s="371" t="s">
        <v>27</v>
      </c>
      <c r="P4" s="372"/>
      <c r="Q4" s="372"/>
      <c r="R4" s="364" t="s">
        <v>28</v>
      </c>
      <c r="S4" s="373"/>
      <c r="T4" s="373"/>
    </row>
    <row r="5" spans="1:20" ht="16.5" customHeight="1" x14ac:dyDescent="0.2">
      <c r="A5" s="374" t="s">
        <v>51</v>
      </c>
      <c r="B5" s="375" t="s">
        <v>70</v>
      </c>
      <c r="C5" s="364">
        <v>7005211</v>
      </c>
      <c r="D5" s="366">
        <v>44579</v>
      </c>
      <c r="E5" s="366" t="s">
        <v>44</v>
      </c>
      <c r="F5" s="364" t="s">
        <v>71</v>
      </c>
      <c r="G5" s="364" t="s">
        <v>46</v>
      </c>
      <c r="H5" s="376">
        <v>298947</v>
      </c>
      <c r="I5" s="376"/>
      <c r="J5" s="377" t="s">
        <v>72</v>
      </c>
      <c r="K5" s="378">
        <v>0</v>
      </c>
      <c r="L5" s="379" t="s">
        <v>27</v>
      </c>
      <c r="M5" s="378"/>
      <c r="N5" s="380" t="s">
        <v>27</v>
      </c>
      <c r="O5" s="380" t="s">
        <v>27</v>
      </c>
      <c r="P5" s="366">
        <v>44607</v>
      </c>
      <c r="Q5" s="364">
        <v>87685</v>
      </c>
      <c r="R5" s="364" t="s">
        <v>73</v>
      </c>
      <c r="S5" s="381" t="s">
        <v>74</v>
      </c>
      <c r="T5" s="373"/>
    </row>
    <row r="6" spans="1:20" x14ac:dyDescent="0.2">
      <c r="A6" s="382" t="s">
        <v>85</v>
      </c>
      <c r="B6" s="383" t="s">
        <v>86</v>
      </c>
      <c r="C6" s="383"/>
      <c r="D6" s="383"/>
      <c r="E6" s="367" t="s">
        <v>50</v>
      </c>
      <c r="F6" s="364" t="s">
        <v>71</v>
      </c>
      <c r="G6" s="364" t="s">
        <v>35</v>
      </c>
      <c r="H6" s="376">
        <v>10000</v>
      </c>
      <c r="I6" s="376">
        <v>14357.36</v>
      </c>
      <c r="J6" s="383" t="s">
        <v>26</v>
      </c>
      <c r="K6" s="376">
        <v>0</v>
      </c>
      <c r="L6" s="370" t="s">
        <v>27</v>
      </c>
      <c r="M6" s="376">
        <v>14357.36</v>
      </c>
      <c r="N6" s="371" t="s">
        <v>27</v>
      </c>
      <c r="O6" s="371" t="s">
        <v>27</v>
      </c>
      <c r="P6" s="366"/>
      <c r="Q6" s="364"/>
      <c r="R6" s="364" t="s">
        <v>28</v>
      </c>
      <c r="S6" s="373"/>
      <c r="T6" s="373"/>
    </row>
    <row r="7" spans="1:20" x14ac:dyDescent="0.2">
      <c r="A7" s="382" t="s">
        <v>31</v>
      </c>
      <c r="B7" s="383" t="s">
        <v>32</v>
      </c>
      <c r="C7" s="383"/>
      <c r="D7" s="383"/>
      <c r="E7" s="367" t="s">
        <v>50</v>
      </c>
      <c r="F7" s="364" t="s">
        <v>71</v>
      </c>
      <c r="G7" s="364" t="s">
        <v>35</v>
      </c>
      <c r="H7" s="376"/>
      <c r="I7" s="376">
        <v>7992.06</v>
      </c>
      <c r="J7" s="383" t="s">
        <v>26</v>
      </c>
      <c r="K7" s="376">
        <v>0</v>
      </c>
      <c r="L7" s="370" t="s">
        <v>27</v>
      </c>
      <c r="M7" s="376">
        <v>7992.06</v>
      </c>
      <c r="N7" s="371" t="s">
        <v>27</v>
      </c>
      <c r="O7" s="371" t="s">
        <v>27</v>
      </c>
      <c r="P7" s="366"/>
      <c r="Q7" s="364"/>
      <c r="R7" s="364" t="s">
        <v>28</v>
      </c>
      <c r="S7" s="373"/>
      <c r="T7" s="373"/>
    </row>
    <row r="8" spans="1:20" x14ac:dyDescent="0.2">
      <c r="A8" s="382" t="s">
        <v>91</v>
      </c>
      <c r="B8" s="383" t="s">
        <v>92</v>
      </c>
      <c r="C8" s="364">
        <v>719401</v>
      </c>
      <c r="D8" s="366">
        <v>44629</v>
      </c>
      <c r="E8" s="366" t="s">
        <v>28</v>
      </c>
      <c r="F8" s="364" t="s">
        <v>71</v>
      </c>
      <c r="G8" s="364" t="s">
        <v>24</v>
      </c>
      <c r="H8" s="376">
        <v>298930.17</v>
      </c>
      <c r="I8" s="376">
        <v>44839.525499999996</v>
      </c>
      <c r="J8" s="383" t="s">
        <v>26</v>
      </c>
      <c r="K8" s="376">
        <v>0</v>
      </c>
      <c r="L8" s="376"/>
      <c r="M8" s="376">
        <v>44839.525499999996</v>
      </c>
      <c r="N8" s="371" t="s">
        <v>27</v>
      </c>
      <c r="O8" s="371" t="s">
        <v>27</v>
      </c>
      <c r="P8" s="366">
        <v>44676</v>
      </c>
      <c r="Q8" s="364">
        <v>6300</v>
      </c>
      <c r="R8" s="364" t="s">
        <v>84</v>
      </c>
      <c r="S8" s="373"/>
      <c r="T8" s="373"/>
    </row>
    <row r="9" spans="1:20" x14ac:dyDescent="0.2">
      <c r="A9" s="382" t="s">
        <v>114</v>
      </c>
      <c r="B9" s="383" t="s">
        <v>115</v>
      </c>
      <c r="C9" s="364">
        <v>746601</v>
      </c>
      <c r="D9" s="366">
        <v>44663</v>
      </c>
      <c r="E9" s="366" t="s">
        <v>99</v>
      </c>
      <c r="F9" s="364" t="s">
        <v>71</v>
      </c>
      <c r="G9" s="364" t="s">
        <v>24</v>
      </c>
      <c r="H9" s="376">
        <v>301491.13</v>
      </c>
      <c r="I9" s="376">
        <v>45223.669499999996</v>
      </c>
      <c r="J9" s="383" t="s">
        <v>26</v>
      </c>
      <c r="K9" s="376">
        <v>0</v>
      </c>
      <c r="L9" s="376"/>
      <c r="M9" s="376">
        <v>45223.669499999996</v>
      </c>
      <c r="N9" s="371" t="s">
        <v>27</v>
      </c>
      <c r="O9" s="371" t="s">
        <v>27</v>
      </c>
      <c r="P9" s="366">
        <v>44705</v>
      </c>
      <c r="Q9" s="364">
        <v>6541</v>
      </c>
      <c r="R9" s="364" t="s">
        <v>84</v>
      </c>
      <c r="S9" s="373"/>
      <c r="T9" s="373"/>
    </row>
    <row r="10" spans="1:20" x14ac:dyDescent="0.2">
      <c r="A10" s="382" t="s">
        <v>116</v>
      </c>
      <c r="B10" s="383" t="s">
        <v>117</v>
      </c>
      <c r="C10" s="364">
        <v>771101</v>
      </c>
      <c r="D10" s="366">
        <v>44693</v>
      </c>
      <c r="E10" s="366" t="s">
        <v>84</v>
      </c>
      <c r="F10" s="364" t="s">
        <v>71</v>
      </c>
      <c r="G10" s="364" t="s">
        <v>118</v>
      </c>
      <c r="H10" s="376">
        <v>302551.15000000002</v>
      </c>
      <c r="I10" s="376">
        <v>54459.207000000002</v>
      </c>
      <c r="J10" s="383" t="s">
        <v>79</v>
      </c>
      <c r="K10" s="376">
        <v>27229.603500000001</v>
      </c>
      <c r="L10" s="370" t="s">
        <v>27</v>
      </c>
      <c r="M10" s="376">
        <v>27229.603500000001</v>
      </c>
      <c r="N10" s="371" t="s">
        <v>27</v>
      </c>
      <c r="O10" s="371" t="s">
        <v>27</v>
      </c>
      <c r="P10" s="366">
        <v>44742</v>
      </c>
      <c r="Q10" s="364">
        <v>6977</v>
      </c>
      <c r="R10" s="364" t="s">
        <v>144</v>
      </c>
      <c r="S10" s="373"/>
      <c r="T10" s="373"/>
    </row>
    <row r="11" spans="1:20" ht="19.5" customHeight="1" x14ac:dyDescent="0.2">
      <c r="A11" s="384" t="s">
        <v>187</v>
      </c>
      <c r="B11" s="385" t="s">
        <v>188</v>
      </c>
      <c r="C11" s="386" t="s">
        <v>189</v>
      </c>
      <c r="D11" s="387">
        <v>44739</v>
      </c>
      <c r="E11" s="388" t="s">
        <v>119</v>
      </c>
      <c r="F11" s="389" t="s">
        <v>71</v>
      </c>
      <c r="G11" s="389" t="s">
        <v>46</v>
      </c>
      <c r="H11" s="390">
        <v>256744.83</v>
      </c>
      <c r="I11" s="390">
        <v>38511.724499999997</v>
      </c>
      <c r="J11" s="385" t="s">
        <v>72</v>
      </c>
      <c r="K11" s="390">
        <v>30809.37</v>
      </c>
      <c r="L11" s="391" t="s">
        <v>27</v>
      </c>
      <c r="M11" s="390">
        <v>7702.3449000000001</v>
      </c>
      <c r="N11" s="392" t="s">
        <v>27</v>
      </c>
      <c r="O11" s="392" t="s">
        <v>27</v>
      </c>
      <c r="P11" s="388">
        <v>44823</v>
      </c>
      <c r="Q11" s="389">
        <v>7830</v>
      </c>
      <c r="R11" s="389" t="s">
        <v>170</v>
      </c>
      <c r="S11" s="381"/>
      <c r="T11" s="373"/>
    </row>
    <row r="12" spans="1:20" ht="17.25" customHeight="1" x14ac:dyDescent="0.2">
      <c r="A12" s="384" t="s">
        <v>137</v>
      </c>
      <c r="B12" s="385" t="s">
        <v>138</v>
      </c>
      <c r="C12" s="389">
        <v>854701</v>
      </c>
      <c r="D12" s="388">
        <v>44776</v>
      </c>
      <c r="E12" s="388" t="s">
        <v>73</v>
      </c>
      <c r="F12" s="389" t="s">
        <v>71</v>
      </c>
      <c r="G12" s="389" t="s">
        <v>118</v>
      </c>
      <c r="H12" s="390">
        <v>282545.67</v>
      </c>
      <c r="I12" s="390">
        <v>50858.220599999993</v>
      </c>
      <c r="J12" s="385" t="s">
        <v>79</v>
      </c>
      <c r="K12" s="390">
        <v>25429.110299999997</v>
      </c>
      <c r="L12" s="391" t="s">
        <v>27</v>
      </c>
      <c r="M12" s="390">
        <v>25429.110299999997</v>
      </c>
      <c r="N12" s="392" t="s">
        <v>27</v>
      </c>
      <c r="O12" s="392" t="s">
        <v>27</v>
      </c>
      <c r="P12" s="388">
        <v>44800</v>
      </c>
      <c r="Q12" s="389">
        <v>7556</v>
      </c>
      <c r="R12" s="389" t="s">
        <v>73</v>
      </c>
      <c r="S12" s="381"/>
      <c r="T12" s="373"/>
    </row>
    <row r="13" spans="1:20" ht="18" customHeight="1" x14ac:dyDescent="0.2">
      <c r="A13" s="384" t="s">
        <v>199</v>
      </c>
      <c r="B13" s="385" t="s">
        <v>200</v>
      </c>
      <c r="C13" s="393" t="s">
        <v>201</v>
      </c>
      <c r="D13" s="388">
        <v>44776</v>
      </c>
      <c r="E13" s="388" t="s">
        <v>73</v>
      </c>
      <c r="F13" s="389" t="s">
        <v>71</v>
      </c>
      <c r="G13" s="389" t="s">
        <v>118</v>
      </c>
      <c r="H13" s="390">
        <v>282545.67</v>
      </c>
      <c r="I13" s="390">
        <v>50858.220599999993</v>
      </c>
      <c r="J13" s="385" t="s">
        <v>79</v>
      </c>
      <c r="K13" s="390">
        <v>25429.110299999997</v>
      </c>
      <c r="L13" s="391" t="s">
        <v>27</v>
      </c>
      <c r="M13" s="390">
        <v>25429.110299999997</v>
      </c>
      <c r="N13" s="392" t="s">
        <v>27</v>
      </c>
      <c r="O13" s="392" t="s">
        <v>27</v>
      </c>
      <c r="P13" s="388">
        <v>44795</v>
      </c>
      <c r="Q13" s="389">
        <v>7489</v>
      </c>
      <c r="R13" s="389" t="s">
        <v>73</v>
      </c>
      <c r="S13" s="381"/>
      <c r="T13" s="373"/>
    </row>
    <row r="14" spans="1:20" ht="17.25" customHeight="1" x14ac:dyDescent="0.2">
      <c r="A14" s="384" t="s">
        <v>196</v>
      </c>
      <c r="B14" s="385" t="s">
        <v>197</v>
      </c>
      <c r="C14" s="393" t="s">
        <v>202</v>
      </c>
      <c r="D14" s="388">
        <v>44776</v>
      </c>
      <c r="E14" s="388" t="s">
        <v>73</v>
      </c>
      <c r="F14" s="389" t="s">
        <v>71</v>
      </c>
      <c r="G14" s="389" t="s">
        <v>118</v>
      </c>
      <c r="H14" s="390">
        <v>280967.88</v>
      </c>
      <c r="I14" s="390">
        <v>50574.218399999998</v>
      </c>
      <c r="J14" s="385" t="s">
        <v>79</v>
      </c>
      <c r="K14" s="390">
        <v>25287.109199999999</v>
      </c>
      <c r="L14" s="391" t="s">
        <v>27</v>
      </c>
      <c r="M14" s="390">
        <v>25287.109199999999</v>
      </c>
      <c r="N14" s="392" t="s">
        <v>27</v>
      </c>
      <c r="O14" s="392" t="s">
        <v>27</v>
      </c>
      <c r="P14" s="388">
        <v>44804</v>
      </c>
      <c r="Q14" s="389">
        <v>7633</v>
      </c>
      <c r="R14" s="389" t="s">
        <v>170</v>
      </c>
      <c r="S14" s="381"/>
      <c r="T14" s="373"/>
    </row>
    <row r="15" spans="1:20" ht="21" customHeight="1" x14ac:dyDescent="0.2">
      <c r="A15" s="384" t="s">
        <v>139</v>
      </c>
      <c r="B15" s="385" t="s">
        <v>133</v>
      </c>
      <c r="C15" s="389">
        <v>871101</v>
      </c>
      <c r="D15" s="388">
        <v>44784</v>
      </c>
      <c r="E15" s="388" t="s">
        <v>73</v>
      </c>
      <c r="F15" s="389" t="s">
        <v>71</v>
      </c>
      <c r="G15" s="389" t="s">
        <v>118</v>
      </c>
      <c r="H15" s="390">
        <v>280968</v>
      </c>
      <c r="I15" s="390">
        <v>50574.239999999998</v>
      </c>
      <c r="J15" s="385" t="s">
        <v>79</v>
      </c>
      <c r="K15" s="390">
        <v>25287.119999999999</v>
      </c>
      <c r="L15" s="391" t="s">
        <v>27</v>
      </c>
      <c r="M15" s="390">
        <v>25287.119999999999</v>
      </c>
      <c r="N15" s="392" t="s">
        <v>27</v>
      </c>
      <c r="O15" s="392" t="s">
        <v>27</v>
      </c>
      <c r="P15" s="388">
        <v>44804</v>
      </c>
      <c r="Q15" s="389">
        <v>7633</v>
      </c>
      <c r="R15" s="389" t="s">
        <v>170</v>
      </c>
      <c r="S15" s="381"/>
      <c r="T15" s="373"/>
    </row>
    <row r="16" spans="1:20" x14ac:dyDescent="0.2">
      <c r="A16" s="384" t="s">
        <v>132</v>
      </c>
      <c r="B16" s="385" t="s">
        <v>178</v>
      </c>
      <c r="C16" s="389">
        <v>871801</v>
      </c>
      <c r="D16" s="388">
        <v>44785</v>
      </c>
      <c r="E16" s="388" t="s">
        <v>73</v>
      </c>
      <c r="F16" s="389" t="s">
        <v>71</v>
      </c>
      <c r="G16" s="389" t="s">
        <v>118</v>
      </c>
      <c r="H16" s="390">
        <v>280967.8</v>
      </c>
      <c r="I16" s="390">
        <v>50574.203999999998</v>
      </c>
      <c r="J16" s="385" t="s">
        <v>79</v>
      </c>
      <c r="K16" s="390">
        <v>25287.101999999999</v>
      </c>
      <c r="L16" s="391" t="s">
        <v>27</v>
      </c>
      <c r="M16" s="390">
        <v>25287.101999999999</v>
      </c>
      <c r="N16" s="392" t="s">
        <v>27</v>
      </c>
      <c r="O16" s="392" t="s">
        <v>27</v>
      </c>
      <c r="P16" s="388">
        <v>44804</v>
      </c>
      <c r="Q16" s="389">
        <v>7633</v>
      </c>
      <c r="R16" s="389" t="s">
        <v>170</v>
      </c>
      <c r="S16" s="381"/>
      <c r="T16" s="373"/>
    </row>
    <row r="17" spans="1:20" x14ac:dyDescent="0.2">
      <c r="A17" s="389" t="s">
        <v>214</v>
      </c>
      <c r="B17" s="394" t="s">
        <v>215</v>
      </c>
      <c r="C17" s="389">
        <v>924301</v>
      </c>
      <c r="D17" s="388">
        <v>44853</v>
      </c>
      <c r="E17" s="393" t="s">
        <v>209</v>
      </c>
      <c r="F17" s="389" t="s">
        <v>71</v>
      </c>
      <c r="G17" s="389" t="s">
        <v>46</v>
      </c>
      <c r="H17" s="390">
        <v>294983.03000000003</v>
      </c>
      <c r="I17" s="390">
        <v>44247.4545</v>
      </c>
      <c r="J17" s="385" t="s">
        <v>72</v>
      </c>
      <c r="K17" s="390">
        <v>35397.963600000003</v>
      </c>
      <c r="L17" s="392" t="s">
        <v>27</v>
      </c>
      <c r="M17" s="390">
        <v>8849.4909000000007</v>
      </c>
      <c r="N17" s="392" t="s">
        <v>27</v>
      </c>
      <c r="O17" s="392" t="s">
        <v>27</v>
      </c>
      <c r="P17" s="388">
        <v>44879</v>
      </c>
      <c r="Q17" s="395" t="s">
        <v>216</v>
      </c>
      <c r="R17" s="389" t="s">
        <v>217</v>
      </c>
      <c r="S17" s="381"/>
      <c r="T17" s="373"/>
    </row>
    <row r="18" spans="1:20" x14ac:dyDescent="0.2">
      <c r="A18" s="389" t="s">
        <v>218</v>
      </c>
      <c r="B18" s="385" t="s">
        <v>219</v>
      </c>
      <c r="C18" s="393" t="s">
        <v>220</v>
      </c>
      <c r="D18" s="393" t="s">
        <v>221</v>
      </c>
      <c r="E18" s="393" t="s">
        <v>217</v>
      </c>
      <c r="F18" s="389" t="s">
        <v>71</v>
      </c>
      <c r="G18" s="389" t="s">
        <v>155</v>
      </c>
      <c r="H18" s="390">
        <v>282212.05</v>
      </c>
      <c r="I18" s="390">
        <v>42331.807499999995</v>
      </c>
      <c r="J18" s="385" t="s">
        <v>26</v>
      </c>
      <c r="K18" s="390">
        <v>0</v>
      </c>
      <c r="L18" s="390"/>
      <c r="M18" s="390">
        <v>42331.807499999995</v>
      </c>
      <c r="N18" s="392" t="s">
        <v>27</v>
      </c>
      <c r="O18" s="392" t="s">
        <v>27</v>
      </c>
      <c r="P18" s="396">
        <v>44913</v>
      </c>
      <c r="Q18" s="389" t="s">
        <v>222</v>
      </c>
      <c r="R18" s="389" t="s">
        <v>223</v>
      </c>
      <c r="S18" s="381"/>
      <c r="T18" s="373"/>
    </row>
    <row r="19" spans="1:20" x14ac:dyDescent="0.2">
      <c r="A19" s="384" t="s">
        <v>224</v>
      </c>
      <c r="B19" s="385" t="s">
        <v>225</v>
      </c>
      <c r="C19" s="393" t="s">
        <v>226</v>
      </c>
      <c r="D19" s="388" t="s">
        <v>227</v>
      </c>
      <c r="E19" s="388" t="s">
        <v>44</v>
      </c>
      <c r="F19" s="389" t="s">
        <v>71</v>
      </c>
      <c r="G19" s="389" t="s">
        <v>24</v>
      </c>
      <c r="H19" s="390">
        <v>281346</v>
      </c>
      <c r="I19" s="390">
        <v>42201.9</v>
      </c>
      <c r="J19" s="385" t="s">
        <v>26</v>
      </c>
      <c r="K19" s="390">
        <v>0</v>
      </c>
      <c r="L19" s="390"/>
      <c r="M19" s="390">
        <v>42201.9</v>
      </c>
      <c r="N19" s="392" t="s">
        <v>27</v>
      </c>
      <c r="O19" s="392" t="s">
        <v>27</v>
      </c>
      <c r="P19" s="388">
        <v>44732</v>
      </c>
      <c r="Q19" s="389">
        <v>6830</v>
      </c>
      <c r="R19" s="389" t="s">
        <v>119</v>
      </c>
      <c r="S19" s="381"/>
      <c r="T19" s="373"/>
    </row>
    <row r="20" spans="1:20" ht="17.25" customHeight="1" x14ac:dyDescent="0.2">
      <c r="A20" s="384" t="s">
        <v>228</v>
      </c>
      <c r="B20" s="385" t="s">
        <v>229</v>
      </c>
      <c r="C20" s="393" t="s">
        <v>230</v>
      </c>
      <c r="D20" s="388" t="s">
        <v>227</v>
      </c>
      <c r="E20" s="388" t="s">
        <v>44</v>
      </c>
      <c r="F20" s="389" t="s">
        <v>71</v>
      </c>
      <c r="G20" s="389" t="s">
        <v>24</v>
      </c>
      <c r="H20" s="390">
        <v>285892</v>
      </c>
      <c r="I20" s="390">
        <v>42883.67</v>
      </c>
      <c r="J20" s="385" t="s">
        <v>26</v>
      </c>
      <c r="K20" s="390">
        <v>0</v>
      </c>
      <c r="L20" s="390"/>
      <c r="M20" s="390">
        <v>42883.67</v>
      </c>
      <c r="N20" s="392" t="s">
        <v>27</v>
      </c>
      <c r="O20" s="392" t="s">
        <v>27</v>
      </c>
      <c r="P20" s="388">
        <v>44732</v>
      </c>
      <c r="Q20" s="389">
        <v>6830</v>
      </c>
      <c r="R20" s="389" t="s">
        <v>119</v>
      </c>
      <c r="S20" s="381"/>
      <c r="T20" s="373"/>
    </row>
    <row r="21" spans="1:20" x14ac:dyDescent="0.2">
      <c r="A21" s="384" t="s">
        <v>231</v>
      </c>
      <c r="B21" s="385" t="s">
        <v>232</v>
      </c>
      <c r="C21" s="393" t="s">
        <v>233</v>
      </c>
      <c r="D21" s="388" t="s">
        <v>227</v>
      </c>
      <c r="E21" s="388" t="s">
        <v>44</v>
      </c>
      <c r="F21" s="389" t="s">
        <v>71</v>
      </c>
      <c r="G21" s="389" t="s">
        <v>24</v>
      </c>
      <c r="H21" s="390">
        <v>288022</v>
      </c>
      <c r="I21" s="390">
        <v>43203.299999999996</v>
      </c>
      <c r="J21" s="385" t="s">
        <v>26</v>
      </c>
      <c r="K21" s="390">
        <v>0</v>
      </c>
      <c r="L21" s="390"/>
      <c r="M21" s="390">
        <v>43203.299999999996</v>
      </c>
      <c r="N21" s="392" t="s">
        <v>27</v>
      </c>
      <c r="O21" s="392" t="s">
        <v>27</v>
      </c>
      <c r="P21" s="388">
        <v>44705</v>
      </c>
      <c r="Q21" s="389">
        <v>6541</v>
      </c>
      <c r="R21" s="389" t="s">
        <v>84</v>
      </c>
      <c r="S21" s="381"/>
      <c r="T21" s="373"/>
    </row>
    <row r="22" spans="1:20" x14ac:dyDescent="0.2">
      <c r="A22" s="384" t="s">
        <v>307</v>
      </c>
      <c r="B22" s="385" t="s">
        <v>308</v>
      </c>
      <c r="C22" s="393" t="s">
        <v>309</v>
      </c>
      <c r="D22" s="393" t="s">
        <v>310</v>
      </c>
      <c r="E22" s="393" t="s">
        <v>170</v>
      </c>
      <c r="F22" s="389" t="s">
        <v>71</v>
      </c>
      <c r="G22" s="389" t="s">
        <v>24</v>
      </c>
      <c r="H22" s="390">
        <v>307310.67</v>
      </c>
      <c r="I22" s="390">
        <v>46096.600499999993</v>
      </c>
      <c r="J22" s="385" t="s">
        <v>26</v>
      </c>
      <c r="K22" s="390">
        <v>0</v>
      </c>
      <c r="L22" s="390"/>
      <c r="M22" s="390">
        <v>46096.600499999993</v>
      </c>
      <c r="N22" s="392" t="s">
        <v>27</v>
      </c>
      <c r="O22" s="392" t="s">
        <v>27</v>
      </c>
      <c r="P22" s="388">
        <v>44834</v>
      </c>
      <c r="Q22" s="389">
        <v>7985</v>
      </c>
      <c r="R22" s="389" t="s">
        <v>209</v>
      </c>
      <c r="S22" s="381"/>
      <c r="T22" s="373"/>
    </row>
    <row r="23" spans="1:20" x14ac:dyDescent="0.2">
      <c r="A23" s="389" t="s">
        <v>91</v>
      </c>
      <c r="B23" s="394" t="s">
        <v>323</v>
      </c>
      <c r="C23" s="393" t="s">
        <v>333</v>
      </c>
      <c r="D23" s="393" t="s">
        <v>334</v>
      </c>
      <c r="E23" s="393" t="s">
        <v>170</v>
      </c>
      <c r="F23" s="389" t="s">
        <v>71</v>
      </c>
      <c r="G23" s="389" t="s">
        <v>24</v>
      </c>
      <c r="H23" s="390">
        <v>201912.13</v>
      </c>
      <c r="I23" s="390">
        <v>30286.819499999998</v>
      </c>
      <c r="J23" s="385" t="s">
        <v>26</v>
      </c>
      <c r="K23" s="390">
        <v>0</v>
      </c>
      <c r="L23" s="390" t="s">
        <v>335</v>
      </c>
      <c r="M23" s="390">
        <v>30286.819499999998</v>
      </c>
      <c r="N23" s="392" t="s">
        <v>27</v>
      </c>
      <c r="O23" s="392" t="s">
        <v>27</v>
      </c>
      <c r="P23" s="388">
        <v>44854</v>
      </c>
      <c r="Q23" s="389" t="s">
        <v>336</v>
      </c>
      <c r="R23" s="389" t="s">
        <v>209</v>
      </c>
      <c r="S23" s="381"/>
      <c r="T23" s="373"/>
    </row>
  </sheetData>
  <conditionalFormatting sqref="D8:E9">
    <cfRule type="timePeriod" dxfId="0" priority="1" timePeriod="lastMonth">
      <formula>AND(MONTH(D8)=MONTH(EDATE(TODAY(),0-1)),YEAR(D8)=YEAR(EDATE(TODAY(),0-1)))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DC6CE6DE943CB4D8282321077C7E57B" ma:contentTypeVersion="16" ma:contentTypeDescription="Crear nuevo documento." ma:contentTypeScope="" ma:versionID="4e86bde2174d9e6b9d918c5bcb319941">
  <xsd:schema xmlns:xsd="http://www.w3.org/2001/XMLSchema" xmlns:xs="http://www.w3.org/2001/XMLSchema" xmlns:p="http://schemas.microsoft.com/office/2006/metadata/properties" xmlns:ns2="b6696f6a-ad90-411d-84ce-c2fd046a1dcc" xmlns:ns3="f92e6425-c240-433a-bb6c-b02dec4626c5" targetNamespace="http://schemas.microsoft.com/office/2006/metadata/properties" ma:root="true" ma:fieldsID="1cea659ebf9b596affeaec39dc5cc9e9" ns2:_="" ns3:_="">
    <xsd:import namespace="b6696f6a-ad90-411d-84ce-c2fd046a1dcc"/>
    <xsd:import namespace="f92e6425-c240-433a-bb6c-b02dec4626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696f6a-ad90-411d-84ce-c2fd046a1d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beb7d28d-bf8f-46a3-b16a-edd0a2473e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2e6425-c240-433a-bb6c-b02dec4626c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576b1e2-443a-4a88-ab78-992e891e5735}" ma:internalName="TaxCatchAll" ma:showField="CatchAllData" ma:web="f92e6425-c240-433a-bb6c-b02dec4626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92e6425-c240-433a-bb6c-b02dec4626c5" xsi:nil="true"/>
    <lcf76f155ced4ddcb4097134ff3c332f xmlns="b6696f6a-ad90-411d-84ce-c2fd046a1dcc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364D9A6-3E69-4F3C-8049-64F3D8C9AF57}"/>
</file>

<file path=customXml/itemProps2.xml><?xml version="1.0" encoding="utf-8"?>
<ds:datastoreItem xmlns:ds="http://schemas.openxmlformats.org/officeDocument/2006/customXml" ds:itemID="{7F1AE919-63D4-4CEC-A579-B482380D65AE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7133E6E6-EB50-44A5-BECA-597D8C9C0A3B}">
  <ds:schemaRefs>
    <ds:schemaRef ds:uri="http://schemas.microsoft.com/office/2006/metadata/properties"/>
    <ds:schemaRef ds:uri="http://www.w3.org/2000/xmlns/"/>
    <ds:schemaRef ds:uri="f92e6425-c240-433a-bb6c-b02dec4626c5"/>
    <ds:schemaRef ds:uri="http://www.w3.org/2001/XMLSchema-instance"/>
    <ds:schemaRef ds:uri="b6696f6a-ad90-411d-84ce-c2fd046a1dcc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16692A2F-31CB-4BB7-BD27-FD014E33BC0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2022</vt:lpstr>
      <vt:lpstr>2023</vt:lpstr>
      <vt:lpstr>2024</vt:lpstr>
      <vt:lpstr>2025</vt:lpstr>
      <vt:lpstr>E&amp;O 2023</vt:lpstr>
      <vt:lpstr>PAGO COMS AMA-GALL 2023</vt:lpstr>
      <vt:lpstr>E&amp;O 2022+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Guillermo Krause Sepúlveda</dc:creator>
  <cp:keywords/>
  <dc:description/>
  <cp:lastModifiedBy>Guillermo Krause</cp:lastModifiedBy>
  <cp:revision/>
  <dcterms:created xsi:type="dcterms:W3CDTF">2022-10-05T18:58:07Z</dcterms:created>
  <dcterms:modified xsi:type="dcterms:W3CDTF">2025-10-23T18:20:58Z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0x010100BDC6CE6DE943CB4D8282321077C7E57B</vt:lpwstr>
  </property>
</Properties>
</file>